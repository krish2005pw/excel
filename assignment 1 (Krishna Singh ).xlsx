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9C7AF92-02A5-4EA2-9D1B-4866ECEFE3FA}" xr6:coauthVersionLast="47" xr6:coauthVersionMax="47" xr10:uidLastSave="{00000000-0000-0000-0000-000000000000}"/>
  <bookViews>
    <workbookView xWindow="-108" yWindow="-108" windowWidth="23256" windowHeight="12456" activeTab="1" xr2:uid="{D2348C5C-927B-4D0D-A898-694FE5658636}"/>
  </bookViews>
  <sheets>
    <sheet name="Question 1st " sheetId="2" r:id="rId1"/>
    <sheet name="Question 2nd" sheetId="3" r:id="rId2"/>
    <sheet name="Question 3rd" sheetId="4" r:id="rId3"/>
    <sheet name="Question 4th" sheetId="5" r:id="rId4"/>
    <sheet name="Question 5th" sheetId="6" r:id="rId5"/>
    <sheet name="Question 6th" sheetId="7" r:id="rId6"/>
    <sheet name="Question 7th" sheetId="8" r:id="rId7"/>
    <sheet name="Question 8th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9" l="1"/>
  <c r="J54" i="9"/>
  <c r="J53" i="9"/>
  <c r="J52" i="9"/>
  <c r="J51" i="9"/>
  <c r="J50" i="9"/>
  <c r="J49" i="9"/>
  <c r="J48" i="9"/>
  <c r="J47" i="9"/>
  <c r="J46" i="9"/>
  <c r="J45" i="9"/>
  <c r="J44" i="9"/>
  <c r="J43" i="9"/>
  <c r="J42" i="9"/>
  <c r="J41" i="9"/>
  <c r="J40" i="9"/>
  <c r="J39" i="9"/>
  <c r="J38" i="9"/>
  <c r="J37" i="9"/>
  <c r="J36" i="9"/>
  <c r="J35" i="9"/>
  <c r="J34" i="9"/>
  <c r="J33" i="9"/>
  <c r="J32" i="9"/>
  <c r="J31" i="9"/>
  <c r="J30" i="9"/>
  <c r="J29" i="9"/>
  <c r="J28" i="9"/>
  <c r="J27" i="9"/>
  <c r="J26" i="9"/>
  <c r="J25" i="9"/>
  <c r="J24" i="9"/>
  <c r="J23" i="9"/>
  <c r="J22" i="9"/>
  <c r="J21" i="9"/>
  <c r="J20" i="9"/>
  <c r="J19" i="9"/>
  <c r="J18" i="9"/>
  <c r="J17" i="9"/>
  <c r="J16" i="9"/>
  <c r="J15" i="9"/>
  <c r="J14" i="9"/>
  <c r="J13" i="9"/>
  <c r="J12" i="9"/>
  <c r="J11" i="9"/>
  <c r="J10" i="9"/>
  <c r="J9" i="9"/>
  <c r="J8" i="9"/>
  <c r="J7" i="9"/>
  <c r="J6" i="9"/>
  <c r="N6" i="8"/>
  <c r="P6" i="7"/>
  <c r="N7" i="8"/>
  <c r="N8" i="8"/>
  <c r="N9" i="8"/>
  <c r="N10" i="8"/>
  <c r="J55" i="8"/>
  <c r="J54" i="8"/>
  <c r="J53" i="8"/>
  <c r="J52" i="8"/>
  <c r="J51" i="8"/>
  <c r="J50" i="8"/>
  <c r="J49" i="8"/>
  <c r="J48" i="8"/>
  <c r="J47" i="8"/>
  <c r="J46" i="8"/>
  <c r="J45" i="8"/>
  <c r="J44" i="8"/>
  <c r="J43" i="8"/>
  <c r="J42" i="8"/>
  <c r="J41" i="8"/>
  <c r="J40" i="8"/>
  <c r="J39" i="8"/>
  <c r="J38" i="8"/>
  <c r="J37" i="8"/>
  <c r="J36" i="8"/>
  <c r="J35" i="8"/>
  <c r="J34" i="8"/>
  <c r="J33" i="8"/>
  <c r="J32" i="8"/>
  <c r="J31" i="8"/>
  <c r="J30" i="8"/>
  <c r="J29" i="8"/>
  <c r="J28" i="8"/>
  <c r="J27" i="8"/>
  <c r="J26" i="8"/>
  <c r="J25" i="8"/>
  <c r="J24" i="8"/>
  <c r="J23" i="8"/>
  <c r="J22" i="8"/>
  <c r="J21" i="8"/>
  <c r="J20" i="8"/>
  <c r="J19" i="8"/>
  <c r="J18" i="8"/>
  <c r="J17" i="8"/>
  <c r="J16" i="8"/>
  <c r="J15" i="8"/>
  <c r="J14" i="8"/>
  <c r="J13" i="8"/>
  <c r="J12" i="8"/>
  <c r="J11" i="8"/>
  <c r="J10" i="8"/>
  <c r="J9" i="8"/>
  <c r="J8" i="8"/>
  <c r="J7" i="8"/>
  <c r="J6" i="8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6" i="7"/>
  <c r="K6" i="6"/>
  <c r="J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M5" i="5"/>
  <c r="D10" i="4"/>
  <c r="C9" i="3"/>
</calcChain>
</file>

<file path=xl/sharedStrings.xml><?xml version="1.0" encoding="utf-8"?>
<sst xmlns="http://schemas.openxmlformats.org/spreadsheetml/2006/main" count="835" uniqueCount="100">
  <si>
    <t>Price</t>
  </si>
  <si>
    <t>Car</t>
  </si>
  <si>
    <t>Bicycle</t>
  </si>
  <si>
    <t>Auto-Rickshaw</t>
  </si>
  <si>
    <t xml:space="preserve"> Explain the difference between Relative , Absolute and Mixed Cell Referencing.</t>
  </si>
  <si>
    <r>
      <rPr>
        <b/>
        <sz val="10"/>
        <color theme="1"/>
        <rFont val="Calibri"/>
        <family val="2"/>
        <scheme val="minor"/>
      </rPr>
      <t>Relative</t>
    </r>
    <r>
      <rPr>
        <sz val="10"/>
        <color theme="1"/>
        <rFont val="Calibri"/>
        <family val="2"/>
        <scheme val="minor"/>
      </rPr>
      <t xml:space="preserve"> - When you copy a formula using relative references, the cell addresses in the formula change relative to their new location </t>
    </r>
  </si>
  <si>
    <r>
      <rPr>
        <b/>
        <sz val="10"/>
        <color theme="1"/>
        <rFont val="Calibri"/>
        <family val="2"/>
        <scheme val="minor"/>
      </rPr>
      <t>Absolute</t>
    </r>
    <r>
      <rPr>
        <sz val="10"/>
        <color theme="1"/>
        <rFont val="Calibri"/>
        <family val="2"/>
        <scheme val="minor"/>
      </rPr>
      <t xml:space="preserve"> - Absolute references remain constant no matter where the formula is copied. A dollar sign ($) is used to "lock" both the column and the row.</t>
    </r>
  </si>
  <si>
    <r>
      <rPr>
        <b/>
        <sz val="10"/>
        <color theme="1"/>
        <rFont val="Calibri"/>
        <family val="2"/>
        <scheme val="minor"/>
      </rPr>
      <t>Mixed cell</t>
    </r>
    <r>
      <rPr>
        <sz val="10"/>
        <color theme="1"/>
        <rFont val="Calibri"/>
        <family val="2"/>
        <scheme val="minor"/>
      </rPr>
      <t>- Mixed referencing locks either the column or the row, but not both .This provides flexibility, allowing one part of the reference to change while the other remains fixed</t>
    </r>
  </si>
  <si>
    <t>Solution 2</t>
  </si>
  <si>
    <t>Vehicle</t>
  </si>
  <si>
    <t>Total Sales</t>
  </si>
  <si>
    <t>Solution 1</t>
  </si>
  <si>
    <t>Solution 3</t>
  </si>
  <si>
    <t xml:space="preserve">Item </t>
  </si>
  <si>
    <t xml:space="preserve">Price </t>
  </si>
  <si>
    <t>Sales</t>
  </si>
  <si>
    <t>Item A</t>
  </si>
  <si>
    <t>Item B</t>
  </si>
  <si>
    <t>Item C</t>
  </si>
  <si>
    <t>Using the data below, write a formula to calculate the average sales of items priced above 100 but less than
300:</t>
  </si>
  <si>
    <t>Average</t>
  </si>
  <si>
    <t>Write a formula to calculate the total sales of Car and Bicyle only only.</t>
  </si>
  <si>
    <t>Count how many customer names are recorded</t>
  </si>
  <si>
    <t>Solution 4</t>
  </si>
  <si>
    <t>Calculate the Total Sales for each row using a formula.</t>
  </si>
  <si>
    <t>Solution 5</t>
  </si>
  <si>
    <t>Calculate the total sales of Notebooks in the North region only.</t>
  </si>
  <si>
    <t>Solution 6</t>
  </si>
  <si>
    <t>Create a column chart showing total sales by product.</t>
  </si>
  <si>
    <t>Solution 7</t>
  </si>
  <si>
    <t>Insert a line chart showing daily sales trend.</t>
  </si>
  <si>
    <t>Solution 8</t>
  </si>
  <si>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</si>
  <si>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</si>
  <si>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</si>
  <si>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</si>
  <si>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</si>
  <si>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</si>
  <si>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</si>
  <si>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</si>
  <si>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</si>
  <si>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</si>
  <si>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</si>
  <si>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</si>
  <si>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</si>
  <si>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</si>
  <si>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</si>
  <si>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</si>
  <si>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</si>
  <si>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</si>
  <si>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</si>
  <si>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</si>
  <si>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</si>
  <si>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</si>
  <si>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</si>
  <si>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Meera Nair</t>
  </si>
  <si>
    <t>Anjali Rao</t>
  </si>
  <si>
    <t>Manoj Das</t>
  </si>
  <si>
    <t>Ritika Sen</t>
  </si>
  <si>
    <t>Karan Malhotra</t>
  </si>
  <si>
    <t>Aryan Joshi</t>
  </si>
  <si>
    <t>Divya Kapoor</t>
  </si>
  <si>
    <t>Sahil Arora</t>
  </si>
  <si>
    <t>Muskan Jain</t>
  </si>
  <si>
    <t>Rohan Gupta</t>
  </si>
  <si>
    <t>Nidhi Sharma</t>
  </si>
  <si>
    <t>Tarun Verma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</si>
  <si>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</si>
  <si>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</si>
  <si>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</si>
  <si>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</si>
  <si>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</si>
  <si>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</si>
  <si>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</si>
  <si>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</si>
  <si>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</si>
  <si>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</si>
  <si>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</si>
  <si>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Harsh Yadav</t>
  </si>
  <si>
    <t>Kajal Rani</t>
  </si>
  <si>
    <t>Varun Sharma</t>
  </si>
  <si>
    <t>Swati Arora</t>
  </si>
  <si>
    <t>Akhil Jain</t>
  </si>
  <si>
    <t>Priyanka Das</t>
  </si>
  <si>
    <t>Ravi Nair</t>
  </si>
  <si>
    <t>Komal Singh</t>
  </si>
  <si>
    <t>Ayesha Khan</t>
  </si>
  <si>
    <t>Arjun Mehta</t>
  </si>
  <si>
    <t>Sonali Gupta</t>
  </si>
  <si>
    <t>Neeraj Kapoor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</si>
  <si>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</si>
  <si>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</si>
  <si>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</si>
  <si>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</si>
  <si>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</si>
  <si>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</si>
  <si>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</si>
  <si>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</si>
  <si>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Count</t>
  </si>
  <si>
    <t>Total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</si>
</sst>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[$-F800]dddd\,\ 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Cambria"/>
      <family val="1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43" fontId="0" fillId="0" borderId="1" xfId="1" applyFont="1" applyBorder="1" applyAlignment="1">
      <alignment horizontal="center" vertical="center"/>
    </xf>
    <xf numFmtId="43" fontId="2" fillId="0" borderId="1" xfId="1" applyFont="1" applyBorder="1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8" fillId="0" borderId="2" xfId="0" applyFont="1" applyBorder="1" applyAlignment="1">
      <alignment horizontal="right"/>
    </xf>
    <xf numFmtId="0" fontId="8" fillId="0" borderId="2" xfId="0" applyFont="1" applyBorder="1"/>
    <xf numFmtId="14" fontId="8" fillId="0" borderId="2" xfId="0" applyNumberFormat="1" applyFont="1" applyBorder="1" applyAlignment="1">
      <alignment horizontal="right"/>
    </xf>
    <xf numFmtId="0" fontId="7" fillId="0" borderId="0" xfId="0" applyFont="1"/>
    <xf numFmtId="0" fontId="7" fillId="0" borderId="1" xfId="0" applyFont="1" applyBorder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14" fontId="8" fillId="0" borderId="1" xfId="0" applyNumberFormat="1" applyFont="1" applyBorder="1" applyAlignment="1">
      <alignment horizontal="right"/>
    </xf>
    <xf numFmtId="164" fontId="8" fillId="0" borderId="1" xfId="0" applyNumberFormat="1" applyFont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7th'!$N$5</c:f>
              <c:strCache>
                <c:ptCount val="1"/>
                <c:pt idx="0">
                  <c:v>Total Sale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'Question 7th'!$M$6:$M$10</c:f>
              <c:strCache>
                <c:ptCount val="5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Pencil</c:v>
                </c:pt>
                <c:pt idx="4">
                  <c:v>Eraser</c:v>
                </c:pt>
              </c:strCache>
            </c:strRef>
          </c:cat>
          <c:val>
            <c:numRef>
              <c:f>'Question 7th'!$N$6:$N$10</c:f>
              <c:numCache>
                <c:formatCode>General</c:formatCode>
                <c:ptCount val="5"/>
                <c:pt idx="0">
                  <c:v>7550</c:v>
                </c:pt>
                <c:pt idx="1">
                  <c:v>2180</c:v>
                </c:pt>
                <c:pt idx="2">
                  <c:v>3650</c:v>
                </c:pt>
                <c:pt idx="3">
                  <c:v>1235</c:v>
                </c:pt>
                <c:pt idx="4">
                  <c:v>1928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8-4CD5-9C28-5994F3AAC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2138000"/>
        <c:axId val="542121680"/>
      </c:barChart>
      <c:catAx>
        <c:axId val="5421380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21680"/>
        <c:crosses val="autoZero"/>
        <c:auto val="1"/>
        <c:lblAlgn val="ctr"/>
        <c:lblOffset val="100"/>
        <c:noMultiLvlLbl val="0"/>
      </c:catAx>
      <c:valAx>
        <c:axId val="54212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138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8th'!$J$5</c:f>
              <c:strCache>
                <c:ptCount val="1"/>
                <c:pt idx="0">
                  <c:v>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'Question 8th'!$I$6:$I$55</c:f>
              <c:numCache>
                <c:formatCode>[$-F800]dddd\,\ mmmm\ dd\,\ yyyy</c:formatCode>
                <c:ptCount val="50"/>
                <c:pt idx="0">
                  <c:v>45296</c:v>
                </c:pt>
                <c:pt idx="1">
                  <c:v>45297</c:v>
                </c:pt>
                <c:pt idx="2">
                  <c:v>45298</c:v>
                </c:pt>
                <c:pt idx="3">
                  <c:v>45299</c:v>
                </c:pt>
                <c:pt idx="4">
                  <c:v>45301</c:v>
                </c:pt>
                <c:pt idx="5">
                  <c:v>45302</c:v>
                </c:pt>
                <c:pt idx="6">
                  <c:v>45304</c:v>
                </c:pt>
                <c:pt idx="7">
                  <c:v>45306</c:v>
                </c:pt>
                <c:pt idx="8">
                  <c:v>45308</c:v>
                </c:pt>
                <c:pt idx="9">
                  <c:v>45309</c:v>
                </c:pt>
                <c:pt idx="10">
                  <c:v>45310</c:v>
                </c:pt>
                <c:pt idx="11">
                  <c:v>45311</c:v>
                </c:pt>
                <c:pt idx="12">
                  <c:v>45313</c:v>
                </c:pt>
                <c:pt idx="13">
                  <c:v>45314</c:v>
                </c:pt>
                <c:pt idx="14">
                  <c:v>45315</c:v>
                </c:pt>
                <c:pt idx="15">
                  <c:v>45317</c:v>
                </c:pt>
                <c:pt idx="16">
                  <c:v>45319</c:v>
                </c:pt>
                <c:pt idx="17">
                  <c:v>45320</c:v>
                </c:pt>
                <c:pt idx="18">
                  <c:v>45321</c:v>
                </c:pt>
                <c:pt idx="19">
                  <c:v>45323</c:v>
                </c:pt>
                <c:pt idx="20">
                  <c:v>45324</c:v>
                </c:pt>
                <c:pt idx="21">
                  <c:v>45325</c:v>
                </c:pt>
                <c:pt idx="22">
                  <c:v>45326</c:v>
                </c:pt>
                <c:pt idx="23">
                  <c:v>45328</c:v>
                </c:pt>
                <c:pt idx="24">
                  <c:v>45329</c:v>
                </c:pt>
                <c:pt idx="25">
                  <c:v>45330</c:v>
                </c:pt>
                <c:pt idx="26">
                  <c:v>45331</c:v>
                </c:pt>
                <c:pt idx="27">
                  <c:v>45332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45338</c:v>
                </c:pt>
                <c:pt idx="32">
                  <c:v>45339</c:v>
                </c:pt>
                <c:pt idx="33">
                  <c:v>45340</c:v>
                </c:pt>
                <c:pt idx="34">
                  <c:v>45341</c:v>
                </c:pt>
                <c:pt idx="35">
                  <c:v>45343</c:v>
                </c:pt>
                <c:pt idx="36">
                  <c:v>45344</c:v>
                </c:pt>
                <c:pt idx="37">
                  <c:v>45345</c:v>
                </c:pt>
                <c:pt idx="38">
                  <c:v>45347</c:v>
                </c:pt>
                <c:pt idx="39">
                  <c:v>45348</c:v>
                </c:pt>
                <c:pt idx="40">
                  <c:v>45349</c:v>
                </c:pt>
                <c:pt idx="41">
                  <c:v>45350</c:v>
                </c:pt>
                <c:pt idx="42">
                  <c:v>45352</c:v>
                </c:pt>
                <c:pt idx="43">
                  <c:v>45353</c:v>
                </c:pt>
                <c:pt idx="44">
                  <c:v>45354</c:v>
                </c:pt>
                <c:pt idx="45">
                  <c:v>45355</c:v>
                </c:pt>
                <c:pt idx="46">
                  <c:v>45356</c:v>
                </c:pt>
                <c:pt idx="47">
                  <c:v>45357</c:v>
                </c:pt>
                <c:pt idx="48">
                  <c:v>45358</c:v>
                </c:pt>
                <c:pt idx="49">
                  <c:v>45359</c:v>
                </c:pt>
              </c:numCache>
            </c:numRef>
          </c:cat>
          <c:val>
            <c:numRef>
              <c:f>'Question 8th'!$J$6:$J$55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92-4DD6-B681-BF94EE5E07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600544"/>
        <c:axId val="277601504"/>
      </c:lineChart>
      <c:dateAx>
        <c:axId val="277600544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01504"/>
        <c:crosses val="autoZero"/>
        <c:auto val="1"/>
        <c:lblOffset val="100"/>
        <c:baseTimeUnit val="days"/>
      </c:dateAx>
      <c:valAx>
        <c:axId val="27760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00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4</xdr:row>
      <xdr:rowOff>0</xdr:rowOff>
    </xdr:from>
    <xdr:to>
      <xdr:col>8</xdr:col>
      <xdr:colOff>505151</xdr:colOff>
      <xdr:row>12</xdr:row>
      <xdr:rowOff>80225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483787-B55D-E20E-3F41-EFF072E1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63340" y="449580"/>
          <a:ext cx="2333951" cy="15432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76200</xdr:colOff>
      <xdr:row>2</xdr:row>
      <xdr:rowOff>213360</xdr:rowOff>
    </xdr:from>
    <xdr:to>
      <xdr:col>15</xdr:col>
      <xdr:colOff>534144</xdr:colOff>
      <xdr:row>12</xdr:row>
      <xdr:rowOff>80257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F45ED5-03FA-7AF7-33A8-753DBB316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9160" y="624840"/>
          <a:ext cx="5334744" cy="177189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4</xdr:row>
      <xdr:rowOff>0</xdr:rowOff>
    </xdr:from>
    <xdr:to>
      <xdr:col>17</xdr:col>
      <xdr:colOff>419329</xdr:colOff>
      <xdr:row>6</xdr:row>
      <xdr:rowOff>47685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09EB25-4C96-CEBD-FD5D-4D492A962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42120" y="853440"/>
          <a:ext cx="1638529" cy="4286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</xdr:colOff>
      <xdr:row>3</xdr:row>
      <xdr:rowOff>121920</xdr:rowOff>
    </xdr:from>
    <xdr:to>
      <xdr:col>19</xdr:col>
      <xdr:colOff>204286</xdr:colOff>
      <xdr:row>6</xdr:row>
      <xdr:rowOff>154386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D96F42-1200-5997-4428-584BA9188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23960" y="784860"/>
          <a:ext cx="3229426" cy="581106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21</xdr:col>
      <xdr:colOff>505491</xdr:colOff>
      <xdr:row>11</xdr:row>
      <xdr:rowOff>118203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2F93E-D2BF-9A56-F3DE-61EFD9F39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69680" y="1577340"/>
          <a:ext cx="4772691" cy="666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144780</xdr:colOff>
      <xdr:row>7</xdr:row>
      <xdr:rowOff>129540</xdr:rowOff>
    </xdr:from>
    <xdr:to>
      <xdr:col>21</xdr:col>
      <xdr:colOff>275096</xdr:colOff>
      <xdr:row>11</xdr:row>
      <xdr:rowOff>36284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43960A-6F26-E42C-6D5A-1C485B637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58100" y="1524000"/>
          <a:ext cx="5563376" cy="63826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99060</xdr:rowOff>
    </xdr:from>
    <xdr:to>
      <xdr:col>16</xdr:col>
      <xdr:colOff>600589</xdr:colOff>
      <xdr:row>3</xdr:row>
      <xdr:rowOff>93437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696BC2-A4FC-D55E-85FC-8C05C0147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18960" y="99060"/>
          <a:ext cx="3686689" cy="657317"/>
        </a:xfrm>
        <a:prstGeom prst="rect">
          <a:avLst/>
        </a:prstGeom>
      </xdr:spPr>
    </xdr:pic>
    <xdr:clientData/>
  </xdr:twoCellAnchor>
  <xdr:twoCellAnchor>
    <xdr:from>
      <xdr:col>14</xdr:col>
      <xdr:colOff>495300</xdr:colOff>
      <xdr:row>3</xdr:row>
      <xdr:rowOff>175260</xdr:rowOff>
    </xdr:from>
    <xdr:to>
      <xdr:col>22</xdr:col>
      <xdr:colOff>190500</xdr:colOff>
      <xdr:row>19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99D696-0B0B-5E64-471A-2EB251EB8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83820</xdr:colOff>
      <xdr:row>33</xdr:row>
      <xdr:rowOff>144780</xdr:rowOff>
    </xdr:from>
    <xdr:to>
      <xdr:col>23</xdr:col>
      <xdr:colOff>76200</xdr:colOff>
      <xdr:row>50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B5E319C-7867-B693-18FF-57E38399B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D1E37-B010-49C1-81B2-24AD71C8960D}">
  <dimension ref="A1:B4"/>
  <sheetViews>
    <sheetView workbookViewId="0">
      <selection activeCell="A4" sqref="A4"/>
    </sheetView>
  </sheetViews>
  <sheetFormatPr defaultRowHeight="14.4" x14ac:dyDescent="0.3"/>
  <cols>
    <col min="1" max="1" width="121.109375" customWidth="1"/>
    <col min="2" max="2" width="141.6640625" bestFit="1" customWidth="1"/>
  </cols>
  <sheetData>
    <row r="1" spans="1:2" ht="17.399999999999999" x14ac:dyDescent="0.3">
      <c r="A1" s="9" t="s">
        <v>4</v>
      </c>
    </row>
    <row r="2" spans="1:2" ht="20.399999999999999" x14ac:dyDescent="0.35">
      <c r="A2" s="8" t="s">
        <v>11</v>
      </c>
      <c r="B2" s="5" t="s">
        <v>5</v>
      </c>
    </row>
    <row r="3" spans="1:2" x14ac:dyDescent="0.3">
      <c r="B3" s="5" t="s">
        <v>6</v>
      </c>
    </row>
    <row r="4" spans="1:2" x14ac:dyDescent="0.3">
      <c r="A4" s="5"/>
      <c r="B4" s="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24BDF-F178-4769-9387-E4858F5CDEEC}">
  <dimension ref="A1:C9"/>
  <sheetViews>
    <sheetView tabSelected="1" workbookViewId="0"/>
  </sheetViews>
  <sheetFormatPr defaultRowHeight="14.4" x14ac:dyDescent="0.3"/>
  <cols>
    <col min="1" max="1" width="14" bestFit="1" customWidth="1"/>
    <col min="2" max="2" width="13.21875" bestFit="1" customWidth="1"/>
    <col min="3" max="3" width="11.33203125" bestFit="1" customWidth="1"/>
  </cols>
  <sheetData>
    <row r="1" spans="1:3" ht="17.399999999999999" x14ac:dyDescent="0.3">
      <c r="A1" s="9" t="s">
        <v>21</v>
      </c>
    </row>
    <row r="3" spans="1:3" ht="20.399999999999999" x14ac:dyDescent="0.35">
      <c r="A3" s="8" t="s">
        <v>8</v>
      </c>
    </row>
    <row r="5" spans="1:3" x14ac:dyDescent="0.3">
      <c r="B5" s="3" t="s">
        <v>9</v>
      </c>
      <c r="C5" s="3" t="s">
        <v>0</v>
      </c>
    </row>
    <row r="6" spans="1:3" x14ac:dyDescent="0.3">
      <c r="B6" s="2" t="s">
        <v>1</v>
      </c>
      <c r="C6" s="6">
        <v>500000</v>
      </c>
    </row>
    <row r="7" spans="1:3" x14ac:dyDescent="0.3">
      <c r="B7" s="2" t="s">
        <v>2</v>
      </c>
      <c r="C7" s="6">
        <v>10500</v>
      </c>
    </row>
    <row r="8" spans="1:3" x14ac:dyDescent="0.3">
      <c r="B8" s="2" t="s">
        <v>3</v>
      </c>
      <c r="C8" s="6">
        <v>25000</v>
      </c>
    </row>
    <row r="9" spans="1:3" x14ac:dyDescent="0.3">
      <c r="B9" s="3" t="s">
        <v>10</v>
      </c>
      <c r="C9" s="7">
        <f>SUM(C6:C8)</f>
        <v>535500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E181-D03D-4C40-9910-C794D11E40EA}">
  <dimension ref="A1:H10"/>
  <sheetViews>
    <sheetView workbookViewId="0">
      <selection sqref="A1:A3"/>
    </sheetView>
  </sheetViews>
  <sheetFormatPr defaultRowHeight="14.4" x14ac:dyDescent="0.3"/>
  <cols>
    <col min="1" max="1" width="14.21875" bestFit="1" customWidth="1"/>
  </cols>
  <sheetData>
    <row r="1" spans="1:8" ht="17.399999999999999" x14ac:dyDescent="0.3">
      <c r="A1" s="9" t="s">
        <v>19</v>
      </c>
    </row>
    <row r="3" spans="1:8" ht="20.399999999999999" x14ac:dyDescent="0.35">
      <c r="A3" s="8" t="s">
        <v>12</v>
      </c>
    </row>
    <row r="5" spans="1:8" x14ac:dyDescent="0.3">
      <c r="B5" s="4" t="s">
        <v>13</v>
      </c>
      <c r="C5" s="4" t="s">
        <v>14</v>
      </c>
      <c r="D5" s="4" t="s">
        <v>15</v>
      </c>
    </row>
    <row r="6" spans="1:8" x14ac:dyDescent="0.3">
      <c r="B6" t="s">
        <v>16</v>
      </c>
      <c r="C6">
        <v>90</v>
      </c>
      <c r="D6">
        <v>1000</v>
      </c>
    </row>
    <row r="7" spans="1:8" x14ac:dyDescent="0.3">
      <c r="B7" t="s">
        <v>17</v>
      </c>
      <c r="C7">
        <v>150</v>
      </c>
      <c r="D7">
        <v>1200</v>
      </c>
      <c r="H7" s="4"/>
    </row>
    <row r="8" spans="1:8" x14ac:dyDescent="0.3">
      <c r="B8" t="s">
        <v>18</v>
      </c>
      <c r="C8">
        <v>250</v>
      </c>
      <c r="D8">
        <v>1500</v>
      </c>
    </row>
    <row r="10" spans="1:8" x14ac:dyDescent="0.3">
      <c r="C10" s="4" t="s">
        <v>20</v>
      </c>
      <c r="D10">
        <f>AVERAGEIFS(D6:D8,C6:C8,"&gt;100",C6:C8,"&lt;300")</f>
        <v>1350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B9DCD-1507-4F59-B232-C442BF0CED64}">
  <dimension ref="A1:M55"/>
  <sheetViews>
    <sheetView workbookViewId="0">
      <selection activeCell="C5" sqref="C5:I55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</cols>
  <sheetData>
    <row r="1" spans="1:13" ht="17.399999999999999" x14ac:dyDescent="0.3">
      <c r="A1" s="9" t="s">
        <v>22</v>
      </c>
    </row>
    <row r="3" spans="1:13" ht="20.399999999999999" x14ac:dyDescent="0.35">
      <c r="A3" s="8" t="s">
        <v>23</v>
      </c>
    </row>
    <row r="4" spans="1:13" ht="15" thickBot="1" x14ac:dyDescent="0.35"/>
    <row r="5" spans="1:13" ht="15" thickBot="1" x14ac:dyDescent="0.35">
      <c r="C5" s="10" t="s">
        <v>32</v>
      </c>
      <c r="D5" s="10" t="s">
        <v>33</v>
      </c>
      <c r="E5" s="10" t="s">
        <v>34</v>
      </c>
      <c r="F5" s="10" t="s">
        <v>35</v>
      </c>
      <c r="G5" s="10" t="s">
        <v>36</v>
      </c>
      <c r="H5" s="10" t="s">
        <v>37</v>
      </c>
      <c r="I5" s="10" t="s">
        <v>38</v>
      </c>
      <c r="L5" s="14" t="s">
        <v>98</v>
      </c>
      <c r="M5" s="4">
        <f>COUNTA(D6:D55)</f>
        <v>50</v>
      </c>
    </row>
    <row r="6" spans="1:13" ht="15" thickBot="1" x14ac:dyDescent="0.35">
      <c r="C6" s="11">
        <v>1001</v>
      </c>
      <c r="D6" s="12" t="s">
        <v>39</v>
      </c>
      <c r="E6" s="12" t="s">
        <v>40</v>
      </c>
      <c r="F6" s="12" t="s">
        <v>41</v>
      </c>
      <c r="G6" s="11">
        <v>10</v>
      </c>
      <c r="H6" s="11">
        <v>50</v>
      </c>
      <c r="I6" s="13">
        <v>45296</v>
      </c>
    </row>
    <row r="7" spans="1:13" ht="15" thickBot="1" x14ac:dyDescent="0.35">
      <c r="C7" s="11">
        <v>1002</v>
      </c>
      <c r="D7" s="12" t="s">
        <v>42</v>
      </c>
      <c r="E7" s="12" t="s">
        <v>43</v>
      </c>
      <c r="F7" s="12" t="s">
        <v>44</v>
      </c>
      <c r="G7" s="11">
        <v>20</v>
      </c>
      <c r="H7" s="11">
        <v>10</v>
      </c>
      <c r="I7" s="13">
        <v>45297</v>
      </c>
    </row>
    <row r="8" spans="1:13" ht="15" thickBot="1" x14ac:dyDescent="0.35">
      <c r="C8" s="11">
        <v>1003</v>
      </c>
      <c r="D8" s="12" t="s">
        <v>45</v>
      </c>
      <c r="E8" s="12" t="s">
        <v>46</v>
      </c>
      <c r="F8" s="12" t="s">
        <v>47</v>
      </c>
      <c r="G8" s="11">
        <v>15</v>
      </c>
      <c r="H8" s="11">
        <v>25</v>
      </c>
      <c r="I8" s="13">
        <v>45298</v>
      </c>
    </row>
    <row r="9" spans="1:13" ht="15" thickBot="1" x14ac:dyDescent="0.35">
      <c r="C9" s="11">
        <v>1004</v>
      </c>
      <c r="D9" s="12" t="s">
        <v>48</v>
      </c>
      <c r="E9" s="12" t="s">
        <v>49</v>
      </c>
      <c r="F9" s="12" t="s">
        <v>41</v>
      </c>
      <c r="G9" s="11">
        <v>5</v>
      </c>
      <c r="H9" s="11">
        <v>50</v>
      </c>
      <c r="I9" s="13">
        <v>45299</v>
      </c>
    </row>
    <row r="10" spans="1:13" ht="15" thickBot="1" x14ac:dyDescent="0.35">
      <c r="C10" s="11">
        <v>1005</v>
      </c>
      <c r="D10" s="12" t="s">
        <v>50</v>
      </c>
      <c r="E10" s="12" t="s">
        <v>40</v>
      </c>
      <c r="F10" s="12" t="s">
        <v>51</v>
      </c>
      <c r="G10" s="11">
        <v>30</v>
      </c>
      <c r="H10" s="11">
        <v>5</v>
      </c>
      <c r="I10" s="13">
        <v>45301</v>
      </c>
    </row>
    <row r="11" spans="1:13" ht="15" thickBot="1" x14ac:dyDescent="0.35">
      <c r="C11" s="11">
        <v>1006</v>
      </c>
      <c r="D11" s="12" t="s">
        <v>52</v>
      </c>
      <c r="E11" s="12" t="s">
        <v>43</v>
      </c>
      <c r="F11" s="12" t="s">
        <v>41</v>
      </c>
      <c r="G11" s="11">
        <v>12</v>
      </c>
      <c r="H11" s="11">
        <v>50</v>
      </c>
      <c r="I11" s="13">
        <v>45302</v>
      </c>
    </row>
    <row r="12" spans="1:13" ht="15" thickBot="1" x14ac:dyDescent="0.35">
      <c r="C12" s="11">
        <v>1007</v>
      </c>
      <c r="D12" s="12" t="s">
        <v>53</v>
      </c>
      <c r="E12" s="12" t="s">
        <v>46</v>
      </c>
      <c r="F12" s="12" t="s">
        <v>54</v>
      </c>
      <c r="G12" s="11">
        <v>25</v>
      </c>
      <c r="H12" s="11">
        <v>8</v>
      </c>
      <c r="I12" s="13">
        <v>45304</v>
      </c>
    </row>
    <row r="13" spans="1:13" ht="15" thickBot="1" x14ac:dyDescent="0.35">
      <c r="C13" s="11">
        <v>1008</v>
      </c>
      <c r="D13" s="12" t="s">
        <v>55</v>
      </c>
      <c r="E13" s="12" t="s">
        <v>49</v>
      </c>
      <c r="F13" s="12" t="s">
        <v>44</v>
      </c>
      <c r="G13" s="11">
        <v>18</v>
      </c>
      <c r="H13" s="11">
        <v>10</v>
      </c>
      <c r="I13" s="13">
        <v>45306</v>
      </c>
    </row>
    <row r="14" spans="1:13" ht="15" thickBot="1" x14ac:dyDescent="0.35">
      <c r="C14" s="11">
        <v>1009</v>
      </c>
      <c r="D14" s="12" t="s">
        <v>56</v>
      </c>
      <c r="E14" s="12" t="s">
        <v>40</v>
      </c>
      <c r="F14" s="12" t="s">
        <v>47</v>
      </c>
      <c r="G14" s="11">
        <v>22</v>
      </c>
      <c r="H14" s="11">
        <v>25</v>
      </c>
      <c r="I14" s="13">
        <v>45308</v>
      </c>
    </row>
    <row r="15" spans="1:13" ht="15" thickBot="1" x14ac:dyDescent="0.35">
      <c r="C15" s="11">
        <v>1010</v>
      </c>
      <c r="D15" s="12" t="s">
        <v>57</v>
      </c>
      <c r="E15" s="12" t="s">
        <v>43</v>
      </c>
      <c r="F15" s="12" t="s">
        <v>41</v>
      </c>
      <c r="G15" s="11">
        <v>8</v>
      </c>
      <c r="H15" s="11">
        <v>50</v>
      </c>
      <c r="I15" s="13">
        <v>45309</v>
      </c>
    </row>
    <row r="16" spans="1:13" ht="15" thickBot="1" x14ac:dyDescent="0.35">
      <c r="C16" s="11">
        <v>1011</v>
      </c>
      <c r="D16" s="12" t="s">
        <v>58</v>
      </c>
      <c r="E16" s="12" t="s">
        <v>46</v>
      </c>
      <c r="F16" s="12" t="s">
        <v>51</v>
      </c>
      <c r="G16" s="11">
        <v>40</v>
      </c>
      <c r="H16" s="11">
        <v>5</v>
      </c>
      <c r="I16" s="13">
        <v>45310</v>
      </c>
    </row>
    <row r="17" spans="3:9" ht="15" thickBot="1" x14ac:dyDescent="0.35">
      <c r="C17" s="11">
        <v>1012</v>
      </c>
      <c r="D17" s="12" t="s">
        <v>59</v>
      </c>
      <c r="E17" s="12" t="s">
        <v>49</v>
      </c>
      <c r="F17" s="12" t="s">
        <v>54</v>
      </c>
      <c r="G17" s="11">
        <v>35</v>
      </c>
      <c r="H17" s="11">
        <v>8</v>
      </c>
      <c r="I17" s="13">
        <v>45311</v>
      </c>
    </row>
    <row r="18" spans="3:9" ht="15" thickBot="1" x14ac:dyDescent="0.35">
      <c r="C18" s="11">
        <v>1013</v>
      </c>
      <c r="D18" s="12" t="s">
        <v>60</v>
      </c>
      <c r="E18" s="12" t="s">
        <v>40</v>
      </c>
      <c r="F18" s="12" t="s">
        <v>41</v>
      </c>
      <c r="G18" s="11">
        <v>14</v>
      </c>
      <c r="H18" s="11">
        <v>50</v>
      </c>
      <c r="I18" s="13">
        <v>45313</v>
      </c>
    </row>
    <row r="19" spans="3:9" ht="15" thickBot="1" x14ac:dyDescent="0.35">
      <c r="C19" s="11">
        <v>1014</v>
      </c>
      <c r="D19" s="12" t="s">
        <v>61</v>
      </c>
      <c r="E19" s="12" t="s">
        <v>43</v>
      </c>
      <c r="F19" s="12" t="s">
        <v>44</v>
      </c>
      <c r="G19" s="11">
        <v>28</v>
      </c>
      <c r="H19" s="11">
        <v>10</v>
      </c>
      <c r="I19" s="13">
        <v>45314</v>
      </c>
    </row>
    <row r="20" spans="3:9" ht="15" thickBot="1" x14ac:dyDescent="0.35">
      <c r="C20" s="11">
        <v>1015</v>
      </c>
      <c r="D20" s="12" t="s">
        <v>62</v>
      </c>
      <c r="E20" s="12" t="s">
        <v>46</v>
      </c>
      <c r="F20" s="12" t="s">
        <v>47</v>
      </c>
      <c r="G20" s="11">
        <v>12</v>
      </c>
      <c r="H20" s="11">
        <v>25</v>
      </c>
      <c r="I20" s="13">
        <v>45315</v>
      </c>
    </row>
    <row r="21" spans="3:9" ht="15" thickBot="1" x14ac:dyDescent="0.35">
      <c r="C21" s="11">
        <v>1016</v>
      </c>
      <c r="D21" s="12" t="s">
        <v>63</v>
      </c>
      <c r="E21" s="12" t="s">
        <v>49</v>
      </c>
      <c r="F21" s="12" t="s">
        <v>51</v>
      </c>
      <c r="G21" s="11">
        <v>25</v>
      </c>
      <c r="H21" s="11">
        <v>5</v>
      </c>
      <c r="I21" s="13">
        <v>45317</v>
      </c>
    </row>
    <row r="22" spans="3:9" ht="15" thickBot="1" x14ac:dyDescent="0.35">
      <c r="C22" s="11">
        <v>1017</v>
      </c>
      <c r="D22" s="12" t="s">
        <v>64</v>
      </c>
      <c r="E22" s="12" t="s">
        <v>40</v>
      </c>
      <c r="F22" s="12" t="s">
        <v>54</v>
      </c>
      <c r="G22" s="11">
        <v>20</v>
      </c>
      <c r="H22" s="11">
        <v>8</v>
      </c>
      <c r="I22" s="13">
        <v>45319</v>
      </c>
    </row>
    <row r="23" spans="3:9" ht="15" thickBot="1" x14ac:dyDescent="0.35">
      <c r="C23" s="11">
        <v>1018</v>
      </c>
      <c r="D23" s="12" t="s">
        <v>65</v>
      </c>
      <c r="E23" s="12" t="s">
        <v>43</v>
      </c>
      <c r="F23" s="12" t="s">
        <v>41</v>
      </c>
      <c r="G23" s="11">
        <v>10</v>
      </c>
      <c r="H23" s="11">
        <v>50</v>
      </c>
      <c r="I23" s="13">
        <v>45320</v>
      </c>
    </row>
    <row r="24" spans="3:9" ht="15" thickBot="1" x14ac:dyDescent="0.35">
      <c r="C24" s="11">
        <v>1019</v>
      </c>
      <c r="D24" s="12" t="s">
        <v>66</v>
      </c>
      <c r="E24" s="12" t="s">
        <v>46</v>
      </c>
      <c r="F24" s="12" t="s">
        <v>44</v>
      </c>
      <c r="G24" s="11">
        <v>15</v>
      </c>
      <c r="H24" s="11">
        <v>10</v>
      </c>
      <c r="I24" s="13">
        <v>45321</v>
      </c>
    </row>
    <row r="25" spans="3:9" ht="15" thickBot="1" x14ac:dyDescent="0.35">
      <c r="C25" s="11">
        <v>1020</v>
      </c>
      <c r="D25" s="12" t="s">
        <v>67</v>
      </c>
      <c r="E25" s="12" t="s">
        <v>49</v>
      </c>
      <c r="F25" s="12" t="s">
        <v>47</v>
      </c>
      <c r="G25" s="11">
        <v>18</v>
      </c>
      <c r="H25" s="11">
        <v>25</v>
      </c>
      <c r="I25" s="13">
        <v>45323</v>
      </c>
    </row>
    <row r="26" spans="3:9" ht="15" thickBot="1" x14ac:dyDescent="0.35">
      <c r="C26" s="11">
        <v>1021</v>
      </c>
      <c r="D26" s="12" t="s">
        <v>68</v>
      </c>
      <c r="E26" s="12" t="s">
        <v>40</v>
      </c>
      <c r="F26" s="12" t="s">
        <v>41</v>
      </c>
      <c r="G26" s="11">
        <v>9</v>
      </c>
      <c r="H26" s="11">
        <v>50</v>
      </c>
      <c r="I26" s="13">
        <v>45324</v>
      </c>
    </row>
    <row r="27" spans="3:9" ht="15" thickBot="1" x14ac:dyDescent="0.35">
      <c r="C27" s="11">
        <v>1022</v>
      </c>
      <c r="D27" s="12" t="s">
        <v>69</v>
      </c>
      <c r="E27" s="12" t="s">
        <v>43</v>
      </c>
      <c r="F27" s="12" t="s">
        <v>51</v>
      </c>
      <c r="G27" s="11">
        <v>35</v>
      </c>
      <c r="H27" s="11">
        <v>5</v>
      </c>
      <c r="I27" s="13">
        <v>45325</v>
      </c>
    </row>
    <row r="28" spans="3:9" ht="15" thickBot="1" x14ac:dyDescent="0.35">
      <c r="C28" s="11">
        <v>1023</v>
      </c>
      <c r="D28" s="12" t="s">
        <v>70</v>
      </c>
      <c r="E28" s="12" t="s">
        <v>46</v>
      </c>
      <c r="F28" s="12" t="s">
        <v>54</v>
      </c>
      <c r="G28" s="11">
        <v>30</v>
      </c>
      <c r="H28" s="11">
        <v>8</v>
      </c>
      <c r="I28" s="13">
        <v>45326</v>
      </c>
    </row>
    <row r="29" spans="3:9" ht="15" thickBot="1" x14ac:dyDescent="0.35">
      <c r="C29" s="11">
        <v>1024</v>
      </c>
      <c r="D29" s="12" t="s">
        <v>71</v>
      </c>
      <c r="E29" s="12" t="s">
        <v>49</v>
      </c>
      <c r="F29" s="12" t="s">
        <v>41</v>
      </c>
      <c r="G29" s="11">
        <v>11</v>
      </c>
      <c r="H29" s="11">
        <v>50</v>
      </c>
      <c r="I29" s="13">
        <v>45328</v>
      </c>
    </row>
    <row r="30" spans="3:9" ht="15" thickBot="1" x14ac:dyDescent="0.35">
      <c r="C30" s="11">
        <v>1025</v>
      </c>
      <c r="D30" s="12" t="s">
        <v>72</v>
      </c>
      <c r="E30" s="12" t="s">
        <v>40</v>
      </c>
      <c r="F30" s="12" t="s">
        <v>44</v>
      </c>
      <c r="G30" s="11">
        <v>14</v>
      </c>
      <c r="H30" s="11">
        <v>10</v>
      </c>
      <c r="I30" s="13">
        <v>45329</v>
      </c>
    </row>
    <row r="31" spans="3:9" ht="15" thickBot="1" x14ac:dyDescent="0.35">
      <c r="C31" s="11">
        <v>1026</v>
      </c>
      <c r="D31" s="12" t="s">
        <v>73</v>
      </c>
      <c r="E31" s="12" t="s">
        <v>43</v>
      </c>
      <c r="F31" s="12" t="s">
        <v>47</v>
      </c>
      <c r="G31" s="11">
        <v>16</v>
      </c>
      <c r="H31" s="11">
        <v>25</v>
      </c>
      <c r="I31" s="13">
        <v>45330</v>
      </c>
    </row>
    <row r="32" spans="3:9" ht="15" thickBot="1" x14ac:dyDescent="0.35">
      <c r="C32" s="11">
        <v>1027</v>
      </c>
      <c r="D32" s="12" t="s">
        <v>74</v>
      </c>
      <c r="E32" s="12" t="s">
        <v>46</v>
      </c>
      <c r="F32" s="12" t="s">
        <v>51</v>
      </c>
      <c r="G32" s="11">
        <v>22</v>
      </c>
      <c r="H32" s="11">
        <v>5</v>
      </c>
      <c r="I32" s="13">
        <v>45331</v>
      </c>
    </row>
    <row r="33" spans="3:9" ht="15" thickBot="1" x14ac:dyDescent="0.35">
      <c r="C33" s="11">
        <v>1028</v>
      </c>
      <c r="D33" s="12" t="s">
        <v>75</v>
      </c>
      <c r="E33" s="12" t="s">
        <v>49</v>
      </c>
      <c r="F33" s="12" t="s">
        <v>54</v>
      </c>
      <c r="G33" s="11">
        <v>27</v>
      </c>
      <c r="H33" s="11">
        <v>8</v>
      </c>
      <c r="I33" s="13">
        <v>45332</v>
      </c>
    </row>
    <row r="34" spans="3:9" ht="15" thickBot="1" x14ac:dyDescent="0.35">
      <c r="C34" s="11">
        <v>1029</v>
      </c>
      <c r="D34" s="12" t="s">
        <v>76</v>
      </c>
      <c r="E34" s="12" t="s">
        <v>40</v>
      </c>
      <c r="F34" s="12" t="s">
        <v>41</v>
      </c>
      <c r="G34" s="11">
        <v>13</v>
      </c>
      <c r="H34" s="11">
        <v>50</v>
      </c>
      <c r="I34" s="13">
        <v>45334</v>
      </c>
    </row>
    <row r="35" spans="3:9" ht="15" thickBot="1" x14ac:dyDescent="0.35">
      <c r="C35" s="11">
        <v>1030</v>
      </c>
      <c r="D35" s="12" t="s">
        <v>77</v>
      </c>
      <c r="E35" s="12" t="s">
        <v>43</v>
      </c>
      <c r="F35" s="12" t="s">
        <v>44</v>
      </c>
      <c r="G35" s="11">
        <v>32</v>
      </c>
      <c r="H35" s="11">
        <v>10</v>
      </c>
      <c r="I35" s="13">
        <v>45335</v>
      </c>
    </row>
    <row r="36" spans="3:9" ht="15" thickBot="1" x14ac:dyDescent="0.35">
      <c r="C36" s="11">
        <v>1031</v>
      </c>
      <c r="D36" s="12" t="s">
        <v>78</v>
      </c>
      <c r="E36" s="12" t="s">
        <v>46</v>
      </c>
      <c r="F36" s="12" t="s">
        <v>47</v>
      </c>
      <c r="G36" s="11">
        <v>10</v>
      </c>
      <c r="H36" s="11">
        <v>25</v>
      </c>
      <c r="I36" s="13">
        <v>45336</v>
      </c>
    </row>
    <row r="37" spans="3:9" ht="15" thickBot="1" x14ac:dyDescent="0.35">
      <c r="C37" s="11">
        <v>1032</v>
      </c>
      <c r="D37" s="12" t="s">
        <v>79</v>
      </c>
      <c r="E37" s="12" t="s">
        <v>49</v>
      </c>
      <c r="F37" s="12" t="s">
        <v>51</v>
      </c>
      <c r="G37" s="11">
        <v>18</v>
      </c>
      <c r="H37" s="11">
        <v>5</v>
      </c>
      <c r="I37" s="13">
        <v>45338</v>
      </c>
    </row>
    <row r="38" spans="3:9" ht="15" thickBot="1" x14ac:dyDescent="0.35">
      <c r="C38" s="11">
        <v>1033</v>
      </c>
      <c r="D38" s="12" t="s">
        <v>80</v>
      </c>
      <c r="E38" s="12" t="s">
        <v>40</v>
      </c>
      <c r="F38" s="12" t="s">
        <v>54</v>
      </c>
      <c r="G38" s="11">
        <v>22</v>
      </c>
      <c r="H38" s="11">
        <v>8</v>
      </c>
      <c r="I38" s="13">
        <v>45339</v>
      </c>
    </row>
    <row r="39" spans="3:9" ht="15" thickBot="1" x14ac:dyDescent="0.35">
      <c r="C39" s="11">
        <v>1034</v>
      </c>
      <c r="D39" s="12" t="s">
        <v>81</v>
      </c>
      <c r="E39" s="12" t="s">
        <v>43</v>
      </c>
      <c r="F39" s="12" t="s">
        <v>41</v>
      </c>
      <c r="G39" s="11">
        <v>17</v>
      </c>
      <c r="H39" s="11">
        <v>50</v>
      </c>
      <c r="I39" s="13">
        <v>45340</v>
      </c>
    </row>
    <row r="40" spans="3:9" ht="15" thickBot="1" x14ac:dyDescent="0.35">
      <c r="C40" s="11">
        <v>1035</v>
      </c>
      <c r="D40" s="12" t="s">
        <v>82</v>
      </c>
      <c r="E40" s="12" t="s">
        <v>46</v>
      </c>
      <c r="F40" s="12" t="s">
        <v>44</v>
      </c>
      <c r="G40" s="11">
        <v>19</v>
      </c>
      <c r="H40" s="11">
        <v>10</v>
      </c>
      <c r="I40" s="13">
        <v>45341</v>
      </c>
    </row>
    <row r="41" spans="3:9" ht="15" thickBot="1" x14ac:dyDescent="0.35">
      <c r="C41" s="11">
        <v>1036</v>
      </c>
      <c r="D41" s="12" t="s">
        <v>83</v>
      </c>
      <c r="E41" s="12" t="s">
        <v>49</v>
      </c>
      <c r="F41" s="12" t="s">
        <v>47</v>
      </c>
      <c r="G41" s="11">
        <v>15</v>
      </c>
      <c r="H41" s="11">
        <v>25</v>
      </c>
      <c r="I41" s="13">
        <v>45343</v>
      </c>
    </row>
    <row r="42" spans="3:9" ht="15" thickBot="1" x14ac:dyDescent="0.35">
      <c r="C42" s="11">
        <v>1037</v>
      </c>
      <c r="D42" s="12" t="s">
        <v>84</v>
      </c>
      <c r="E42" s="12" t="s">
        <v>40</v>
      </c>
      <c r="F42" s="12" t="s">
        <v>51</v>
      </c>
      <c r="G42" s="11">
        <v>28</v>
      </c>
      <c r="H42" s="11">
        <v>5</v>
      </c>
      <c r="I42" s="13">
        <v>45344</v>
      </c>
    </row>
    <row r="43" spans="3:9" ht="15" thickBot="1" x14ac:dyDescent="0.35">
      <c r="C43" s="11">
        <v>1038</v>
      </c>
      <c r="D43" s="12" t="s">
        <v>85</v>
      </c>
      <c r="E43" s="12" t="s">
        <v>43</v>
      </c>
      <c r="F43" s="12" t="s">
        <v>54</v>
      </c>
      <c r="G43" s="11">
        <v>24</v>
      </c>
      <c r="H43" s="11">
        <v>8</v>
      </c>
      <c r="I43" s="13">
        <v>45345</v>
      </c>
    </row>
    <row r="44" spans="3:9" ht="15" thickBot="1" x14ac:dyDescent="0.35">
      <c r="C44" s="11">
        <v>1039</v>
      </c>
      <c r="D44" s="12" t="s">
        <v>86</v>
      </c>
      <c r="E44" s="12" t="s">
        <v>46</v>
      </c>
      <c r="F44" s="12" t="s">
        <v>41</v>
      </c>
      <c r="G44" s="11">
        <v>16</v>
      </c>
      <c r="H44" s="11">
        <v>50</v>
      </c>
      <c r="I44" s="13">
        <v>45347</v>
      </c>
    </row>
    <row r="45" spans="3:9" ht="15" thickBot="1" x14ac:dyDescent="0.35">
      <c r="C45" s="11">
        <v>1040</v>
      </c>
      <c r="D45" s="12" t="s">
        <v>87</v>
      </c>
      <c r="E45" s="12" t="s">
        <v>49</v>
      </c>
      <c r="F45" s="12" t="s">
        <v>44</v>
      </c>
      <c r="G45" s="11">
        <v>27</v>
      </c>
      <c r="H45" s="11">
        <v>10</v>
      </c>
      <c r="I45" s="13">
        <v>45348</v>
      </c>
    </row>
    <row r="46" spans="3:9" ht="15" thickBot="1" x14ac:dyDescent="0.35">
      <c r="C46" s="11">
        <v>1041</v>
      </c>
      <c r="D46" s="12" t="s">
        <v>88</v>
      </c>
      <c r="E46" s="12" t="s">
        <v>40</v>
      </c>
      <c r="F46" s="12" t="s">
        <v>47</v>
      </c>
      <c r="G46" s="11">
        <v>21</v>
      </c>
      <c r="H46" s="11">
        <v>25</v>
      </c>
      <c r="I46" s="13">
        <v>45349</v>
      </c>
    </row>
    <row r="47" spans="3:9" ht="15" thickBot="1" x14ac:dyDescent="0.35">
      <c r="C47" s="11">
        <v>1042</v>
      </c>
      <c r="D47" s="12" t="s">
        <v>89</v>
      </c>
      <c r="E47" s="12" t="s">
        <v>43</v>
      </c>
      <c r="F47" s="12" t="s">
        <v>51</v>
      </c>
      <c r="G47" s="11">
        <v>30</v>
      </c>
      <c r="H47" s="11">
        <v>5</v>
      </c>
      <c r="I47" s="13">
        <v>45350</v>
      </c>
    </row>
    <row r="48" spans="3:9" ht="15" thickBot="1" x14ac:dyDescent="0.35">
      <c r="C48" s="11">
        <v>1043</v>
      </c>
      <c r="D48" s="12" t="s">
        <v>90</v>
      </c>
      <c r="E48" s="12" t="s">
        <v>46</v>
      </c>
      <c r="F48" s="12" t="s">
        <v>54</v>
      </c>
      <c r="G48" s="11">
        <v>26</v>
      </c>
      <c r="H48" s="11">
        <v>8</v>
      </c>
      <c r="I48" s="13">
        <v>45352</v>
      </c>
    </row>
    <row r="49" spans="3:9" ht="15" thickBot="1" x14ac:dyDescent="0.35">
      <c r="C49" s="11">
        <v>1044</v>
      </c>
      <c r="D49" s="12" t="s">
        <v>91</v>
      </c>
      <c r="E49" s="12" t="s">
        <v>49</v>
      </c>
      <c r="F49" s="12" t="s">
        <v>41</v>
      </c>
      <c r="G49" s="11">
        <v>14</v>
      </c>
      <c r="H49" s="11">
        <v>50</v>
      </c>
      <c r="I49" s="13">
        <v>45353</v>
      </c>
    </row>
    <row r="50" spans="3:9" ht="15" thickBot="1" x14ac:dyDescent="0.35">
      <c r="C50" s="11">
        <v>1045</v>
      </c>
      <c r="D50" s="12" t="s">
        <v>92</v>
      </c>
      <c r="E50" s="12" t="s">
        <v>40</v>
      </c>
      <c r="F50" s="12" t="s">
        <v>44</v>
      </c>
      <c r="G50" s="11">
        <v>20</v>
      </c>
      <c r="H50" s="11">
        <v>10</v>
      </c>
      <c r="I50" s="13">
        <v>45354</v>
      </c>
    </row>
    <row r="51" spans="3:9" ht="15" thickBot="1" x14ac:dyDescent="0.35">
      <c r="C51" s="11">
        <v>1046</v>
      </c>
      <c r="D51" s="12" t="s">
        <v>93</v>
      </c>
      <c r="E51" s="12" t="s">
        <v>43</v>
      </c>
      <c r="F51" s="12" t="s">
        <v>47</v>
      </c>
      <c r="G51" s="11">
        <v>17</v>
      </c>
      <c r="H51" s="11">
        <v>25</v>
      </c>
      <c r="I51" s="13">
        <v>45355</v>
      </c>
    </row>
    <row r="52" spans="3:9" ht="15" thickBot="1" x14ac:dyDescent="0.35">
      <c r="C52" s="11">
        <v>1047</v>
      </c>
      <c r="D52" s="12" t="s">
        <v>94</v>
      </c>
      <c r="E52" s="12" t="s">
        <v>46</v>
      </c>
      <c r="F52" s="12" t="s">
        <v>51</v>
      </c>
      <c r="G52" s="11">
        <v>19</v>
      </c>
      <c r="H52" s="11">
        <v>5</v>
      </c>
      <c r="I52" s="13">
        <v>45356</v>
      </c>
    </row>
    <row r="53" spans="3:9" ht="15" thickBot="1" x14ac:dyDescent="0.35">
      <c r="C53" s="11">
        <v>1048</v>
      </c>
      <c r="D53" s="12" t="s">
        <v>95</v>
      </c>
      <c r="E53" s="12" t="s">
        <v>49</v>
      </c>
      <c r="F53" s="12" t="s">
        <v>54</v>
      </c>
      <c r="G53" s="11">
        <v>32</v>
      </c>
      <c r="H53" s="11">
        <v>8</v>
      </c>
      <c r="I53" s="13">
        <v>45357</v>
      </c>
    </row>
    <row r="54" spans="3:9" ht="15" thickBot="1" x14ac:dyDescent="0.35">
      <c r="C54" s="11">
        <v>1049</v>
      </c>
      <c r="D54" s="12" t="s">
        <v>96</v>
      </c>
      <c r="E54" s="12" t="s">
        <v>40</v>
      </c>
      <c r="F54" s="12" t="s">
        <v>41</v>
      </c>
      <c r="G54" s="11">
        <v>12</v>
      </c>
      <c r="H54" s="11">
        <v>50</v>
      </c>
      <c r="I54" s="13">
        <v>45358</v>
      </c>
    </row>
    <row r="55" spans="3:9" ht="15" thickBot="1" x14ac:dyDescent="0.35">
      <c r="C55" s="11">
        <v>1050</v>
      </c>
      <c r="D55" s="12" t="s">
        <v>97</v>
      </c>
      <c r="E55" s="12" t="s">
        <v>43</v>
      </c>
      <c r="F55" s="12" t="s">
        <v>44</v>
      </c>
      <c r="G55" s="11">
        <v>25</v>
      </c>
      <c r="H55" s="11">
        <v>10</v>
      </c>
      <c r="I55" s="13">
        <v>45359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89A3F-7734-439D-9DF2-DC7AB8C04C4D}">
  <dimension ref="A1:K55"/>
  <sheetViews>
    <sheetView workbookViewId="0">
      <selection activeCell="J6" sqref="J6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  <col min="10" max="11" width="9.88671875" bestFit="1" customWidth="1"/>
  </cols>
  <sheetData>
    <row r="1" spans="1:11" ht="17.399999999999999" x14ac:dyDescent="0.3">
      <c r="A1" s="9" t="s">
        <v>24</v>
      </c>
    </row>
    <row r="3" spans="1:11" ht="20.399999999999999" x14ac:dyDescent="0.35">
      <c r="A3" s="8" t="s">
        <v>25</v>
      </c>
    </row>
    <row r="5" spans="1:11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5" t="s">
        <v>10</v>
      </c>
      <c r="K5" s="15" t="s">
        <v>10</v>
      </c>
    </row>
    <row r="6" spans="1:11" x14ac:dyDescent="0.3">
      <c r="C6" s="16">
        <v>1001</v>
      </c>
      <c r="D6" s="17" t="s">
        <v>39</v>
      </c>
      <c r="E6" s="17" t="s">
        <v>40</v>
      </c>
      <c r="F6" s="17" t="s">
        <v>41</v>
      </c>
      <c r="G6" s="16">
        <v>10</v>
      </c>
      <c r="H6" s="16">
        <v>50</v>
      </c>
      <c r="I6" s="18">
        <v>45296</v>
      </c>
      <c r="J6" s="1">
        <f>G6*H6</f>
        <v>500</v>
      </c>
      <c r="K6" s="1">
        <f>PRODUCT(G6*H6)</f>
        <v>500</v>
      </c>
    </row>
    <row r="7" spans="1:11" x14ac:dyDescent="0.3">
      <c r="C7" s="16">
        <v>1002</v>
      </c>
      <c r="D7" s="17" t="s">
        <v>42</v>
      </c>
      <c r="E7" s="17" t="s">
        <v>43</v>
      </c>
      <c r="F7" s="17" t="s">
        <v>44</v>
      </c>
      <c r="G7" s="16">
        <v>20</v>
      </c>
      <c r="H7" s="16">
        <v>10</v>
      </c>
      <c r="I7" s="18">
        <v>45297</v>
      </c>
      <c r="J7" s="1">
        <f t="shared" ref="J7:J55" si="0">G7*H7</f>
        <v>200</v>
      </c>
      <c r="K7" s="1">
        <f t="shared" ref="K7:K55" si="1">PRODUCT(G7*H7)</f>
        <v>200</v>
      </c>
    </row>
    <row r="8" spans="1:11" x14ac:dyDescent="0.3">
      <c r="C8" s="16">
        <v>1003</v>
      </c>
      <c r="D8" s="17" t="s">
        <v>45</v>
      </c>
      <c r="E8" s="17" t="s">
        <v>46</v>
      </c>
      <c r="F8" s="17" t="s">
        <v>47</v>
      </c>
      <c r="G8" s="16">
        <v>15</v>
      </c>
      <c r="H8" s="16">
        <v>25</v>
      </c>
      <c r="I8" s="18">
        <v>45298</v>
      </c>
      <c r="J8" s="1">
        <f t="shared" si="0"/>
        <v>375</v>
      </c>
      <c r="K8" s="1">
        <f t="shared" si="1"/>
        <v>375</v>
      </c>
    </row>
    <row r="9" spans="1:11" x14ac:dyDescent="0.3">
      <c r="C9" s="16">
        <v>1004</v>
      </c>
      <c r="D9" s="17" t="s">
        <v>48</v>
      </c>
      <c r="E9" s="17" t="s">
        <v>49</v>
      </c>
      <c r="F9" s="17" t="s">
        <v>41</v>
      </c>
      <c r="G9" s="16">
        <v>5</v>
      </c>
      <c r="H9" s="16">
        <v>50</v>
      </c>
      <c r="I9" s="18">
        <v>45299</v>
      </c>
      <c r="J9" s="1">
        <f t="shared" si="0"/>
        <v>250</v>
      </c>
      <c r="K9" s="1">
        <f t="shared" si="1"/>
        <v>250</v>
      </c>
    </row>
    <row r="10" spans="1:11" x14ac:dyDescent="0.3">
      <c r="C10" s="16">
        <v>1005</v>
      </c>
      <c r="D10" s="17" t="s">
        <v>50</v>
      </c>
      <c r="E10" s="17" t="s">
        <v>40</v>
      </c>
      <c r="F10" s="17" t="s">
        <v>51</v>
      </c>
      <c r="G10" s="16">
        <v>30</v>
      </c>
      <c r="H10" s="16">
        <v>5</v>
      </c>
      <c r="I10" s="18">
        <v>45301</v>
      </c>
      <c r="J10" s="1">
        <f t="shared" si="0"/>
        <v>150</v>
      </c>
      <c r="K10" s="1">
        <f t="shared" si="1"/>
        <v>150</v>
      </c>
    </row>
    <row r="11" spans="1:11" x14ac:dyDescent="0.3">
      <c r="C11" s="16">
        <v>1006</v>
      </c>
      <c r="D11" s="17" t="s">
        <v>52</v>
      </c>
      <c r="E11" s="17" t="s">
        <v>43</v>
      </c>
      <c r="F11" s="17" t="s">
        <v>41</v>
      </c>
      <c r="G11" s="16">
        <v>12</v>
      </c>
      <c r="H11" s="16">
        <v>50</v>
      </c>
      <c r="I11" s="18">
        <v>45302</v>
      </c>
      <c r="J11" s="1">
        <f t="shared" si="0"/>
        <v>600</v>
      </c>
      <c r="K11" s="1">
        <f t="shared" si="1"/>
        <v>600</v>
      </c>
    </row>
    <row r="12" spans="1:11" x14ac:dyDescent="0.3">
      <c r="C12" s="16">
        <v>1007</v>
      </c>
      <c r="D12" s="17" t="s">
        <v>53</v>
      </c>
      <c r="E12" s="17" t="s">
        <v>46</v>
      </c>
      <c r="F12" s="17" t="s">
        <v>54</v>
      </c>
      <c r="G12" s="16">
        <v>25</v>
      </c>
      <c r="H12" s="16">
        <v>8</v>
      </c>
      <c r="I12" s="18">
        <v>45304</v>
      </c>
      <c r="J12" s="1">
        <f t="shared" si="0"/>
        <v>200</v>
      </c>
      <c r="K12" s="1">
        <f t="shared" si="1"/>
        <v>200</v>
      </c>
    </row>
    <row r="13" spans="1:11" x14ac:dyDescent="0.3">
      <c r="C13" s="16">
        <v>1008</v>
      </c>
      <c r="D13" s="17" t="s">
        <v>55</v>
      </c>
      <c r="E13" s="17" t="s">
        <v>49</v>
      </c>
      <c r="F13" s="17" t="s">
        <v>44</v>
      </c>
      <c r="G13" s="16">
        <v>18</v>
      </c>
      <c r="H13" s="16">
        <v>10</v>
      </c>
      <c r="I13" s="18">
        <v>45306</v>
      </c>
      <c r="J13" s="1">
        <f t="shared" si="0"/>
        <v>180</v>
      </c>
      <c r="K13" s="1">
        <f t="shared" si="1"/>
        <v>180</v>
      </c>
    </row>
    <row r="14" spans="1:11" x14ac:dyDescent="0.3">
      <c r="C14" s="16">
        <v>1009</v>
      </c>
      <c r="D14" s="17" t="s">
        <v>56</v>
      </c>
      <c r="E14" s="17" t="s">
        <v>40</v>
      </c>
      <c r="F14" s="17" t="s">
        <v>47</v>
      </c>
      <c r="G14" s="16">
        <v>22</v>
      </c>
      <c r="H14" s="16">
        <v>25</v>
      </c>
      <c r="I14" s="18">
        <v>45308</v>
      </c>
      <c r="J14" s="1">
        <f t="shared" si="0"/>
        <v>550</v>
      </c>
      <c r="K14" s="1">
        <f t="shared" si="1"/>
        <v>550</v>
      </c>
    </row>
    <row r="15" spans="1:11" x14ac:dyDescent="0.3">
      <c r="C15" s="16">
        <v>1010</v>
      </c>
      <c r="D15" s="17" t="s">
        <v>57</v>
      </c>
      <c r="E15" s="17" t="s">
        <v>43</v>
      </c>
      <c r="F15" s="17" t="s">
        <v>41</v>
      </c>
      <c r="G15" s="16">
        <v>8</v>
      </c>
      <c r="H15" s="16">
        <v>50</v>
      </c>
      <c r="I15" s="18">
        <v>45309</v>
      </c>
      <c r="J15" s="1">
        <f t="shared" si="0"/>
        <v>400</v>
      </c>
      <c r="K15" s="1">
        <f t="shared" si="1"/>
        <v>400</v>
      </c>
    </row>
    <row r="16" spans="1:11" x14ac:dyDescent="0.3">
      <c r="C16" s="16">
        <v>1011</v>
      </c>
      <c r="D16" s="17" t="s">
        <v>58</v>
      </c>
      <c r="E16" s="17" t="s">
        <v>46</v>
      </c>
      <c r="F16" s="17" t="s">
        <v>51</v>
      </c>
      <c r="G16" s="16">
        <v>40</v>
      </c>
      <c r="H16" s="16">
        <v>5</v>
      </c>
      <c r="I16" s="18">
        <v>45310</v>
      </c>
      <c r="J16" s="1">
        <f t="shared" si="0"/>
        <v>200</v>
      </c>
      <c r="K16" s="1">
        <f t="shared" si="1"/>
        <v>200</v>
      </c>
    </row>
    <row r="17" spans="3:11" x14ac:dyDescent="0.3">
      <c r="C17" s="16">
        <v>1012</v>
      </c>
      <c r="D17" s="17" t="s">
        <v>59</v>
      </c>
      <c r="E17" s="17" t="s">
        <v>49</v>
      </c>
      <c r="F17" s="17" t="s">
        <v>54</v>
      </c>
      <c r="G17" s="16">
        <v>35</v>
      </c>
      <c r="H17" s="16">
        <v>8</v>
      </c>
      <c r="I17" s="18">
        <v>45311</v>
      </c>
      <c r="J17" s="1">
        <f t="shared" si="0"/>
        <v>280</v>
      </c>
      <c r="K17" s="1">
        <f t="shared" si="1"/>
        <v>280</v>
      </c>
    </row>
    <row r="18" spans="3:11" x14ac:dyDescent="0.3">
      <c r="C18" s="16">
        <v>1013</v>
      </c>
      <c r="D18" s="17" t="s">
        <v>60</v>
      </c>
      <c r="E18" s="17" t="s">
        <v>40</v>
      </c>
      <c r="F18" s="17" t="s">
        <v>41</v>
      </c>
      <c r="G18" s="16">
        <v>14</v>
      </c>
      <c r="H18" s="16">
        <v>50</v>
      </c>
      <c r="I18" s="18">
        <v>45313</v>
      </c>
      <c r="J18" s="1">
        <f t="shared" si="0"/>
        <v>700</v>
      </c>
      <c r="K18" s="1">
        <f t="shared" si="1"/>
        <v>700</v>
      </c>
    </row>
    <row r="19" spans="3:11" x14ac:dyDescent="0.3">
      <c r="C19" s="16">
        <v>1014</v>
      </c>
      <c r="D19" s="17" t="s">
        <v>61</v>
      </c>
      <c r="E19" s="17" t="s">
        <v>43</v>
      </c>
      <c r="F19" s="17" t="s">
        <v>44</v>
      </c>
      <c r="G19" s="16">
        <v>28</v>
      </c>
      <c r="H19" s="16">
        <v>10</v>
      </c>
      <c r="I19" s="18">
        <v>45314</v>
      </c>
      <c r="J19" s="1">
        <f t="shared" si="0"/>
        <v>280</v>
      </c>
      <c r="K19" s="1">
        <f t="shared" si="1"/>
        <v>280</v>
      </c>
    </row>
    <row r="20" spans="3:11" x14ac:dyDescent="0.3">
      <c r="C20" s="16">
        <v>1015</v>
      </c>
      <c r="D20" s="17" t="s">
        <v>62</v>
      </c>
      <c r="E20" s="17" t="s">
        <v>46</v>
      </c>
      <c r="F20" s="17" t="s">
        <v>47</v>
      </c>
      <c r="G20" s="16">
        <v>12</v>
      </c>
      <c r="H20" s="16">
        <v>25</v>
      </c>
      <c r="I20" s="18">
        <v>45315</v>
      </c>
      <c r="J20" s="1">
        <f t="shared" si="0"/>
        <v>300</v>
      </c>
      <c r="K20" s="1">
        <f t="shared" si="1"/>
        <v>300</v>
      </c>
    </row>
    <row r="21" spans="3:11" x14ac:dyDescent="0.3">
      <c r="C21" s="16">
        <v>1016</v>
      </c>
      <c r="D21" s="17" t="s">
        <v>63</v>
      </c>
      <c r="E21" s="17" t="s">
        <v>49</v>
      </c>
      <c r="F21" s="17" t="s">
        <v>51</v>
      </c>
      <c r="G21" s="16">
        <v>25</v>
      </c>
      <c r="H21" s="16">
        <v>5</v>
      </c>
      <c r="I21" s="18">
        <v>45317</v>
      </c>
      <c r="J21" s="1">
        <f t="shared" si="0"/>
        <v>125</v>
      </c>
      <c r="K21" s="1">
        <f t="shared" si="1"/>
        <v>125</v>
      </c>
    </row>
    <row r="22" spans="3:11" x14ac:dyDescent="0.3">
      <c r="C22" s="16">
        <v>1017</v>
      </c>
      <c r="D22" s="17" t="s">
        <v>64</v>
      </c>
      <c r="E22" s="17" t="s">
        <v>40</v>
      </c>
      <c r="F22" s="17" t="s">
        <v>54</v>
      </c>
      <c r="G22" s="16">
        <v>20</v>
      </c>
      <c r="H22" s="16">
        <v>8</v>
      </c>
      <c r="I22" s="18">
        <v>45319</v>
      </c>
      <c r="J22" s="1">
        <f t="shared" si="0"/>
        <v>160</v>
      </c>
      <c r="K22" s="1">
        <f t="shared" si="1"/>
        <v>160</v>
      </c>
    </row>
    <row r="23" spans="3:11" x14ac:dyDescent="0.3">
      <c r="C23" s="16">
        <v>1018</v>
      </c>
      <c r="D23" s="17" t="s">
        <v>65</v>
      </c>
      <c r="E23" s="17" t="s">
        <v>43</v>
      </c>
      <c r="F23" s="17" t="s">
        <v>41</v>
      </c>
      <c r="G23" s="16">
        <v>10</v>
      </c>
      <c r="H23" s="16">
        <v>50</v>
      </c>
      <c r="I23" s="18">
        <v>45320</v>
      </c>
      <c r="J23" s="1">
        <f t="shared" si="0"/>
        <v>500</v>
      </c>
      <c r="K23" s="1">
        <f t="shared" si="1"/>
        <v>500</v>
      </c>
    </row>
    <row r="24" spans="3:11" x14ac:dyDescent="0.3">
      <c r="C24" s="16">
        <v>1019</v>
      </c>
      <c r="D24" s="17" t="s">
        <v>66</v>
      </c>
      <c r="E24" s="17" t="s">
        <v>46</v>
      </c>
      <c r="F24" s="17" t="s">
        <v>44</v>
      </c>
      <c r="G24" s="16">
        <v>15</v>
      </c>
      <c r="H24" s="16">
        <v>10</v>
      </c>
      <c r="I24" s="18">
        <v>45321</v>
      </c>
      <c r="J24" s="1">
        <f t="shared" si="0"/>
        <v>150</v>
      </c>
      <c r="K24" s="1">
        <f t="shared" si="1"/>
        <v>150</v>
      </c>
    </row>
    <row r="25" spans="3:11" x14ac:dyDescent="0.3">
      <c r="C25" s="16">
        <v>1020</v>
      </c>
      <c r="D25" s="17" t="s">
        <v>67</v>
      </c>
      <c r="E25" s="17" t="s">
        <v>49</v>
      </c>
      <c r="F25" s="17" t="s">
        <v>47</v>
      </c>
      <c r="G25" s="16">
        <v>18</v>
      </c>
      <c r="H25" s="16">
        <v>25</v>
      </c>
      <c r="I25" s="18">
        <v>45323</v>
      </c>
      <c r="J25" s="1">
        <f t="shared" si="0"/>
        <v>450</v>
      </c>
      <c r="K25" s="1">
        <f t="shared" si="1"/>
        <v>450</v>
      </c>
    </row>
    <row r="26" spans="3:11" x14ac:dyDescent="0.3">
      <c r="C26" s="16">
        <v>1021</v>
      </c>
      <c r="D26" s="17" t="s">
        <v>68</v>
      </c>
      <c r="E26" s="17" t="s">
        <v>40</v>
      </c>
      <c r="F26" s="17" t="s">
        <v>41</v>
      </c>
      <c r="G26" s="16">
        <v>9</v>
      </c>
      <c r="H26" s="16">
        <v>50</v>
      </c>
      <c r="I26" s="18">
        <v>45324</v>
      </c>
      <c r="J26" s="1">
        <f t="shared" si="0"/>
        <v>450</v>
      </c>
      <c r="K26" s="1">
        <f t="shared" si="1"/>
        <v>450</v>
      </c>
    </row>
    <row r="27" spans="3:11" x14ac:dyDescent="0.3">
      <c r="C27" s="16">
        <v>1022</v>
      </c>
      <c r="D27" s="17" t="s">
        <v>69</v>
      </c>
      <c r="E27" s="17" t="s">
        <v>43</v>
      </c>
      <c r="F27" s="17" t="s">
        <v>51</v>
      </c>
      <c r="G27" s="16">
        <v>35</v>
      </c>
      <c r="H27" s="16">
        <v>5</v>
      </c>
      <c r="I27" s="18">
        <v>45325</v>
      </c>
      <c r="J27" s="1">
        <f t="shared" si="0"/>
        <v>175</v>
      </c>
      <c r="K27" s="1">
        <f t="shared" si="1"/>
        <v>175</v>
      </c>
    </row>
    <row r="28" spans="3:11" x14ac:dyDescent="0.3">
      <c r="C28" s="16">
        <v>1023</v>
      </c>
      <c r="D28" s="17" t="s">
        <v>70</v>
      </c>
      <c r="E28" s="17" t="s">
        <v>46</v>
      </c>
      <c r="F28" s="17" t="s">
        <v>54</v>
      </c>
      <c r="G28" s="16">
        <v>30</v>
      </c>
      <c r="H28" s="16">
        <v>8</v>
      </c>
      <c r="I28" s="18">
        <v>45326</v>
      </c>
      <c r="J28" s="1">
        <f t="shared" si="0"/>
        <v>240</v>
      </c>
      <c r="K28" s="1">
        <f t="shared" si="1"/>
        <v>240</v>
      </c>
    </row>
    <row r="29" spans="3:11" x14ac:dyDescent="0.3">
      <c r="C29" s="16">
        <v>1024</v>
      </c>
      <c r="D29" s="17" t="s">
        <v>71</v>
      </c>
      <c r="E29" s="17" t="s">
        <v>49</v>
      </c>
      <c r="F29" s="17" t="s">
        <v>41</v>
      </c>
      <c r="G29" s="16">
        <v>11</v>
      </c>
      <c r="H29" s="16">
        <v>50</v>
      </c>
      <c r="I29" s="18">
        <v>45328</v>
      </c>
      <c r="J29" s="1">
        <f t="shared" si="0"/>
        <v>550</v>
      </c>
      <c r="K29" s="1">
        <f t="shared" si="1"/>
        <v>550</v>
      </c>
    </row>
    <row r="30" spans="3:11" x14ac:dyDescent="0.3">
      <c r="C30" s="16">
        <v>1025</v>
      </c>
      <c r="D30" s="17" t="s">
        <v>72</v>
      </c>
      <c r="E30" s="17" t="s">
        <v>40</v>
      </c>
      <c r="F30" s="17" t="s">
        <v>44</v>
      </c>
      <c r="G30" s="16">
        <v>14</v>
      </c>
      <c r="H30" s="16">
        <v>10</v>
      </c>
      <c r="I30" s="18">
        <v>45329</v>
      </c>
      <c r="J30" s="1">
        <f t="shared" si="0"/>
        <v>140</v>
      </c>
      <c r="K30" s="1">
        <f t="shared" si="1"/>
        <v>140</v>
      </c>
    </row>
    <row r="31" spans="3:11" x14ac:dyDescent="0.3">
      <c r="C31" s="16">
        <v>1026</v>
      </c>
      <c r="D31" s="17" t="s">
        <v>73</v>
      </c>
      <c r="E31" s="17" t="s">
        <v>43</v>
      </c>
      <c r="F31" s="17" t="s">
        <v>47</v>
      </c>
      <c r="G31" s="16">
        <v>16</v>
      </c>
      <c r="H31" s="16">
        <v>25</v>
      </c>
      <c r="I31" s="18">
        <v>45330</v>
      </c>
      <c r="J31" s="1">
        <f t="shared" si="0"/>
        <v>400</v>
      </c>
      <c r="K31" s="1">
        <f t="shared" si="1"/>
        <v>400</v>
      </c>
    </row>
    <row r="32" spans="3:11" x14ac:dyDescent="0.3">
      <c r="C32" s="16">
        <v>1027</v>
      </c>
      <c r="D32" s="17" t="s">
        <v>74</v>
      </c>
      <c r="E32" s="17" t="s">
        <v>46</v>
      </c>
      <c r="F32" s="17" t="s">
        <v>51</v>
      </c>
      <c r="G32" s="16">
        <v>22</v>
      </c>
      <c r="H32" s="16">
        <v>5</v>
      </c>
      <c r="I32" s="18">
        <v>45331</v>
      </c>
      <c r="J32" s="1">
        <f t="shared" si="0"/>
        <v>110</v>
      </c>
      <c r="K32" s="1">
        <f t="shared" si="1"/>
        <v>110</v>
      </c>
    </row>
    <row r="33" spans="3:11" x14ac:dyDescent="0.3">
      <c r="C33" s="16">
        <v>1028</v>
      </c>
      <c r="D33" s="17" t="s">
        <v>75</v>
      </c>
      <c r="E33" s="17" t="s">
        <v>49</v>
      </c>
      <c r="F33" s="17" t="s">
        <v>54</v>
      </c>
      <c r="G33" s="16">
        <v>27</v>
      </c>
      <c r="H33" s="16">
        <v>8</v>
      </c>
      <c r="I33" s="18">
        <v>45332</v>
      </c>
      <c r="J33" s="1">
        <f t="shared" si="0"/>
        <v>216</v>
      </c>
      <c r="K33" s="1">
        <f t="shared" si="1"/>
        <v>216</v>
      </c>
    </row>
    <row r="34" spans="3:11" x14ac:dyDescent="0.3">
      <c r="C34" s="16">
        <v>1029</v>
      </c>
      <c r="D34" s="17" t="s">
        <v>76</v>
      </c>
      <c r="E34" s="17" t="s">
        <v>40</v>
      </c>
      <c r="F34" s="17" t="s">
        <v>41</v>
      </c>
      <c r="G34" s="16">
        <v>13</v>
      </c>
      <c r="H34" s="16">
        <v>50</v>
      </c>
      <c r="I34" s="18">
        <v>45334</v>
      </c>
      <c r="J34" s="1">
        <f t="shared" si="0"/>
        <v>650</v>
      </c>
      <c r="K34" s="1">
        <f t="shared" si="1"/>
        <v>650</v>
      </c>
    </row>
    <row r="35" spans="3:11" x14ac:dyDescent="0.3">
      <c r="C35" s="16">
        <v>1030</v>
      </c>
      <c r="D35" s="17" t="s">
        <v>77</v>
      </c>
      <c r="E35" s="17" t="s">
        <v>43</v>
      </c>
      <c r="F35" s="17" t="s">
        <v>44</v>
      </c>
      <c r="G35" s="16">
        <v>32</v>
      </c>
      <c r="H35" s="16">
        <v>10</v>
      </c>
      <c r="I35" s="18">
        <v>45335</v>
      </c>
      <c r="J35" s="1">
        <f t="shared" si="0"/>
        <v>320</v>
      </c>
      <c r="K35" s="1">
        <f t="shared" si="1"/>
        <v>320</v>
      </c>
    </row>
    <row r="36" spans="3:11" x14ac:dyDescent="0.3">
      <c r="C36" s="16">
        <v>1031</v>
      </c>
      <c r="D36" s="17" t="s">
        <v>78</v>
      </c>
      <c r="E36" s="17" t="s">
        <v>46</v>
      </c>
      <c r="F36" s="17" t="s">
        <v>47</v>
      </c>
      <c r="G36" s="16">
        <v>10</v>
      </c>
      <c r="H36" s="16">
        <v>25</v>
      </c>
      <c r="I36" s="18">
        <v>45336</v>
      </c>
      <c r="J36" s="1">
        <f t="shared" si="0"/>
        <v>250</v>
      </c>
      <c r="K36" s="1">
        <f t="shared" si="1"/>
        <v>250</v>
      </c>
    </row>
    <row r="37" spans="3:11" x14ac:dyDescent="0.3">
      <c r="C37" s="16">
        <v>1032</v>
      </c>
      <c r="D37" s="17" t="s">
        <v>79</v>
      </c>
      <c r="E37" s="17" t="s">
        <v>49</v>
      </c>
      <c r="F37" s="17" t="s">
        <v>51</v>
      </c>
      <c r="G37" s="16">
        <v>18</v>
      </c>
      <c r="H37" s="16">
        <v>5</v>
      </c>
      <c r="I37" s="18">
        <v>45338</v>
      </c>
      <c r="J37" s="1">
        <f t="shared" si="0"/>
        <v>90</v>
      </c>
      <c r="K37" s="1">
        <f t="shared" si="1"/>
        <v>90</v>
      </c>
    </row>
    <row r="38" spans="3:11" x14ac:dyDescent="0.3">
      <c r="C38" s="16">
        <v>1033</v>
      </c>
      <c r="D38" s="17" t="s">
        <v>80</v>
      </c>
      <c r="E38" s="17" t="s">
        <v>40</v>
      </c>
      <c r="F38" s="17" t="s">
        <v>54</v>
      </c>
      <c r="G38" s="16">
        <v>22</v>
      </c>
      <c r="H38" s="16">
        <v>8</v>
      </c>
      <c r="I38" s="18">
        <v>45339</v>
      </c>
      <c r="J38" s="1">
        <f t="shared" si="0"/>
        <v>176</v>
      </c>
      <c r="K38" s="1">
        <f t="shared" si="1"/>
        <v>176</v>
      </c>
    </row>
    <row r="39" spans="3:11" x14ac:dyDescent="0.3">
      <c r="C39" s="16">
        <v>1034</v>
      </c>
      <c r="D39" s="17" t="s">
        <v>81</v>
      </c>
      <c r="E39" s="17" t="s">
        <v>43</v>
      </c>
      <c r="F39" s="17" t="s">
        <v>41</v>
      </c>
      <c r="G39" s="16">
        <v>17</v>
      </c>
      <c r="H39" s="16">
        <v>50</v>
      </c>
      <c r="I39" s="18">
        <v>45340</v>
      </c>
      <c r="J39" s="1">
        <f t="shared" si="0"/>
        <v>850</v>
      </c>
      <c r="K39" s="1">
        <f t="shared" si="1"/>
        <v>850</v>
      </c>
    </row>
    <row r="40" spans="3:11" x14ac:dyDescent="0.3">
      <c r="C40" s="16">
        <v>1035</v>
      </c>
      <c r="D40" s="17" t="s">
        <v>82</v>
      </c>
      <c r="E40" s="17" t="s">
        <v>46</v>
      </c>
      <c r="F40" s="17" t="s">
        <v>44</v>
      </c>
      <c r="G40" s="16">
        <v>19</v>
      </c>
      <c r="H40" s="16">
        <v>10</v>
      </c>
      <c r="I40" s="18">
        <v>45341</v>
      </c>
      <c r="J40" s="1">
        <f t="shared" si="0"/>
        <v>190</v>
      </c>
      <c r="K40" s="1">
        <f t="shared" si="1"/>
        <v>190</v>
      </c>
    </row>
    <row r="41" spans="3:11" x14ac:dyDescent="0.3">
      <c r="C41" s="16">
        <v>1036</v>
      </c>
      <c r="D41" s="17" t="s">
        <v>83</v>
      </c>
      <c r="E41" s="17" t="s">
        <v>49</v>
      </c>
      <c r="F41" s="17" t="s">
        <v>47</v>
      </c>
      <c r="G41" s="16">
        <v>15</v>
      </c>
      <c r="H41" s="16">
        <v>25</v>
      </c>
      <c r="I41" s="18">
        <v>45343</v>
      </c>
      <c r="J41" s="1">
        <f t="shared" si="0"/>
        <v>375</v>
      </c>
      <c r="K41" s="1">
        <f t="shared" si="1"/>
        <v>375</v>
      </c>
    </row>
    <row r="42" spans="3:11" x14ac:dyDescent="0.3">
      <c r="C42" s="16">
        <v>1037</v>
      </c>
      <c r="D42" s="17" t="s">
        <v>84</v>
      </c>
      <c r="E42" s="17" t="s">
        <v>40</v>
      </c>
      <c r="F42" s="17" t="s">
        <v>51</v>
      </c>
      <c r="G42" s="16">
        <v>28</v>
      </c>
      <c r="H42" s="16">
        <v>5</v>
      </c>
      <c r="I42" s="18">
        <v>45344</v>
      </c>
      <c r="J42" s="1">
        <f t="shared" si="0"/>
        <v>140</v>
      </c>
      <c r="K42" s="1">
        <f t="shared" si="1"/>
        <v>140</v>
      </c>
    </row>
    <row r="43" spans="3:11" x14ac:dyDescent="0.3">
      <c r="C43" s="16">
        <v>1038</v>
      </c>
      <c r="D43" s="17" t="s">
        <v>85</v>
      </c>
      <c r="E43" s="17" t="s">
        <v>43</v>
      </c>
      <c r="F43" s="17" t="s">
        <v>54</v>
      </c>
      <c r="G43" s="16">
        <v>24</v>
      </c>
      <c r="H43" s="16">
        <v>8</v>
      </c>
      <c r="I43" s="18">
        <v>45345</v>
      </c>
      <c r="J43" s="1">
        <f t="shared" si="0"/>
        <v>192</v>
      </c>
      <c r="K43" s="1">
        <f t="shared" si="1"/>
        <v>192</v>
      </c>
    </row>
    <row r="44" spans="3:11" x14ac:dyDescent="0.3">
      <c r="C44" s="16">
        <v>1039</v>
      </c>
      <c r="D44" s="17" t="s">
        <v>86</v>
      </c>
      <c r="E44" s="17" t="s">
        <v>46</v>
      </c>
      <c r="F44" s="17" t="s">
        <v>41</v>
      </c>
      <c r="G44" s="16">
        <v>16</v>
      </c>
      <c r="H44" s="16">
        <v>50</v>
      </c>
      <c r="I44" s="18">
        <v>45347</v>
      </c>
      <c r="J44" s="1">
        <f t="shared" si="0"/>
        <v>800</v>
      </c>
      <c r="K44" s="1">
        <f t="shared" si="1"/>
        <v>800</v>
      </c>
    </row>
    <row r="45" spans="3:11" x14ac:dyDescent="0.3">
      <c r="C45" s="16">
        <v>1040</v>
      </c>
      <c r="D45" s="17" t="s">
        <v>87</v>
      </c>
      <c r="E45" s="17" t="s">
        <v>49</v>
      </c>
      <c r="F45" s="17" t="s">
        <v>44</v>
      </c>
      <c r="G45" s="16">
        <v>27</v>
      </c>
      <c r="H45" s="16">
        <v>10</v>
      </c>
      <c r="I45" s="18">
        <v>45348</v>
      </c>
      <c r="J45" s="1">
        <f t="shared" si="0"/>
        <v>270</v>
      </c>
      <c r="K45" s="1">
        <f t="shared" si="1"/>
        <v>270</v>
      </c>
    </row>
    <row r="46" spans="3:11" x14ac:dyDescent="0.3">
      <c r="C46" s="16">
        <v>1041</v>
      </c>
      <c r="D46" s="17" t="s">
        <v>88</v>
      </c>
      <c r="E46" s="17" t="s">
        <v>40</v>
      </c>
      <c r="F46" s="17" t="s">
        <v>47</v>
      </c>
      <c r="G46" s="16">
        <v>21</v>
      </c>
      <c r="H46" s="16">
        <v>25</v>
      </c>
      <c r="I46" s="18">
        <v>45349</v>
      </c>
      <c r="J46" s="1">
        <f t="shared" si="0"/>
        <v>525</v>
      </c>
      <c r="K46" s="1">
        <f t="shared" si="1"/>
        <v>525</v>
      </c>
    </row>
    <row r="47" spans="3:11" x14ac:dyDescent="0.3">
      <c r="C47" s="16">
        <v>1042</v>
      </c>
      <c r="D47" s="17" t="s">
        <v>89</v>
      </c>
      <c r="E47" s="17" t="s">
        <v>43</v>
      </c>
      <c r="F47" s="17" t="s">
        <v>51</v>
      </c>
      <c r="G47" s="16">
        <v>30</v>
      </c>
      <c r="H47" s="16">
        <v>5</v>
      </c>
      <c r="I47" s="18">
        <v>45350</v>
      </c>
      <c r="J47" s="1">
        <f t="shared" si="0"/>
        <v>150</v>
      </c>
      <c r="K47" s="1">
        <f t="shared" si="1"/>
        <v>150</v>
      </c>
    </row>
    <row r="48" spans="3:11" x14ac:dyDescent="0.3">
      <c r="C48" s="16">
        <v>1043</v>
      </c>
      <c r="D48" s="17" t="s">
        <v>90</v>
      </c>
      <c r="E48" s="17" t="s">
        <v>46</v>
      </c>
      <c r="F48" s="17" t="s">
        <v>54</v>
      </c>
      <c r="G48" s="16">
        <v>26</v>
      </c>
      <c r="H48" s="16">
        <v>8</v>
      </c>
      <c r="I48" s="18">
        <v>45352</v>
      </c>
      <c r="J48" s="1">
        <f t="shared" si="0"/>
        <v>208</v>
      </c>
      <c r="K48" s="1">
        <f t="shared" si="1"/>
        <v>208</v>
      </c>
    </row>
    <row r="49" spans="3:11" x14ac:dyDescent="0.3">
      <c r="C49" s="16">
        <v>1044</v>
      </c>
      <c r="D49" s="17" t="s">
        <v>91</v>
      </c>
      <c r="E49" s="17" t="s">
        <v>49</v>
      </c>
      <c r="F49" s="17" t="s">
        <v>41</v>
      </c>
      <c r="G49" s="16">
        <v>14</v>
      </c>
      <c r="H49" s="16">
        <v>50</v>
      </c>
      <c r="I49" s="18">
        <v>45353</v>
      </c>
      <c r="J49" s="1">
        <f t="shared" si="0"/>
        <v>700</v>
      </c>
      <c r="K49" s="1">
        <f t="shared" si="1"/>
        <v>700</v>
      </c>
    </row>
    <row r="50" spans="3:11" x14ac:dyDescent="0.3">
      <c r="C50" s="16">
        <v>1045</v>
      </c>
      <c r="D50" s="17" t="s">
        <v>92</v>
      </c>
      <c r="E50" s="17" t="s">
        <v>40</v>
      </c>
      <c r="F50" s="17" t="s">
        <v>44</v>
      </c>
      <c r="G50" s="16">
        <v>20</v>
      </c>
      <c r="H50" s="16">
        <v>10</v>
      </c>
      <c r="I50" s="18">
        <v>45354</v>
      </c>
      <c r="J50" s="1">
        <f t="shared" si="0"/>
        <v>200</v>
      </c>
      <c r="K50" s="1">
        <f t="shared" si="1"/>
        <v>200</v>
      </c>
    </row>
    <row r="51" spans="3:11" x14ac:dyDescent="0.3">
      <c r="C51" s="16">
        <v>1046</v>
      </c>
      <c r="D51" s="17" t="s">
        <v>93</v>
      </c>
      <c r="E51" s="17" t="s">
        <v>43</v>
      </c>
      <c r="F51" s="17" t="s">
        <v>47</v>
      </c>
      <c r="G51" s="16">
        <v>17</v>
      </c>
      <c r="H51" s="16">
        <v>25</v>
      </c>
      <c r="I51" s="18">
        <v>45355</v>
      </c>
      <c r="J51" s="1">
        <f t="shared" si="0"/>
        <v>425</v>
      </c>
      <c r="K51" s="1">
        <f t="shared" si="1"/>
        <v>425</v>
      </c>
    </row>
    <row r="52" spans="3:11" x14ac:dyDescent="0.3">
      <c r="C52" s="16">
        <v>1047</v>
      </c>
      <c r="D52" s="17" t="s">
        <v>94</v>
      </c>
      <c r="E52" s="17" t="s">
        <v>46</v>
      </c>
      <c r="F52" s="17" t="s">
        <v>51</v>
      </c>
      <c r="G52" s="16">
        <v>19</v>
      </c>
      <c r="H52" s="16">
        <v>5</v>
      </c>
      <c r="I52" s="18">
        <v>45356</v>
      </c>
      <c r="J52" s="1">
        <f t="shared" si="0"/>
        <v>95</v>
      </c>
      <c r="K52" s="1">
        <f t="shared" si="1"/>
        <v>95</v>
      </c>
    </row>
    <row r="53" spans="3:11" x14ac:dyDescent="0.3">
      <c r="C53" s="16">
        <v>1048</v>
      </c>
      <c r="D53" s="17" t="s">
        <v>95</v>
      </c>
      <c r="E53" s="17" t="s">
        <v>49</v>
      </c>
      <c r="F53" s="17" t="s">
        <v>54</v>
      </c>
      <c r="G53" s="16">
        <v>32</v>
      </c>
      <c r="H53" s="16">
        <v>8</v>
      </c>
      <c r="I53" s="18">
        <v>45357</v>
      </c>
      <c r="J53" s="1">
        <f t="shared" si="0"/>
        <v>256</v>
      </c>
      <c r="K53" s="1">
        <f t="shared" si="1"/>
        <v>256</v>
      </c>
    </row>
    <row r="54" spans="3:11" x14ac:dyDescent="0.3">
      <c r="C54" s="16">
        <v>1049</v>
      </c>
      <c r="D54" s="17" t="s">
        <v>96</v>
      </c>
      <c r="E54" s="17" t="s">
        <v>40</v>
      </c>
      <c r="F54" s="17" t="s">
        <v>41</v>
      </c>
      <c r="G54" s="16">
        <v>12</v>
      </c>
      <c r="H54" s="16">
        <v>50</v>
      </c>
      <c r="I54" s="18">
        <v>45358</v>
      </c>
      <c r="J54" s="1">
        <f t="shared" si="0"/>
        <v>600</v>
      </c>
      <c r="K54" s="1">
        <f t="shared" si="1"/>
        <v>600</v>
      </c>
    </row>
    <row r="55" spans="3:11" x14ac:dyDescent="0.3">
      <c r="C55" s="16">
        <v>1050</v>
      </c>
      <c r="D55" s="17" t="s">
        <v>97</v>
      </c>
      <c r="E55" s="17" t="s">
        <v>43</v>
      </c>
      <c r="F55" s="17" t="s">
        <v>44</v>
      </c>
      <c r="G55" s="16">
        <v>25</v>
      </c>
      <c r="H55" s="16">
        <v>10</v>
      </c>
      <c r="I55" s="18">
        <v>45359</v>
      </c>
      <c r="J55" s="1">
        <f t="shared" si="0"/>
        <v>250</v>
      </c>
      <c r="K55" s="1">
        <f t="shared" si="1"/>
        <v>250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6263-620A-445D-9812-0854AB79AFAF}">
  <dimension ref="A1:P55"/>
  <sheetViews>
    <sheetView workbookViewId="0">
      <selection activeCell="J6" sqref="J6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  <col min="14" max="14" width="6.77734375" bestFit="1" customWidth="1"/>
    <col min="15" max="15" width="9.21875" bestFit="1" customWidth="1"/>
    <col min="16" max="16" width="9.88671875" bestFit="1" customWidth="1"/>
  </cols>
  <sheetData>
    <row r="1" spans="1:16" ht="17.399999999999999" x14ac:dyDescent="0.3">
      <c r="A1" s="9" t="s">
        <v>26</v>
      </c>
    </row>
    <row r="3" spans="1:16" ht="20.399999999999999" x14ac:dyDescent="0.35">
      <c r="A3" s="8" t="s">
        <v>27</v>
      </c>
    </row>
    <row r="5" spans="1:16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5" t="s">
        <v>10</v>
      </c>
      <c r="N5" s="15" t="s">
        <v>34</v>
      </c>
      <c r="O5" s="15" t="s">
        <v>35</v>
      </c>
      <c r="P5" s="15" t="s">
        <v>10</v>
      </c>
    </row>
    <row r="6" spans="1:16" x14ac:dyDescent="0.3">
      <c r="C6" s="16">
        <v>1001</v>
      </c>
      <c r="D6" s="17" t="s">
        <v>39</v>
      </c>
      <c r="E6" s="17" t="s">
        <v>40</v>
      </c>
      <c r="F6" s="17" t="s">
        <v>41</v>
      </c>
      <c r="G6" s="16">
        <v>10</v>
      </c>
      <c r="H6" s="16">
        <v>50</v>
      </c>
      <c r="I6" s="18">
        <v>45296</v>
      </c>
      <c r="J6" s="1">
        <f>PRODUCT(G6*H6)</f>
        <v>500</v>
      </c>
      <c r="M6" s="4"/>
      <c r="N6" s="17" t="s">
        <v>40</v>
      </c>
      <c r="O6" s="17" t="s">
        <v>41</v>
      </c>
      <c r="P6" s="4">
        <f>SUMIFS($J$6:$J$55,$F$6:$F$55,O6,$E$6:$E$55,N6)</f>
        <v>2900</v>
      </c>
    </row>
    <row r="7" spans="1:16" x14ac:dyDescent="0.3">
      <c r="C7" s="16">
        <v>1002</v>
      </c>
      <c r="D7" s="17" t="s">
        <v>42</v>
      </c>
      <c r="E7" s="17" t="s">
        <v>43</v>
      </c>
      <c r="F7" s="17" t="s">
        <v>44</v>
      </c>
      <c r="G7" s="16">
        <v>20</v>
      </c>
      <c r="H7" s="16">
        <v>10</v>
      </c>
      <c r="I7" s="18">
        <v>45297</v>
      </c>
      <c r="J7" s="1">
        <f t="shared" ref="J7:J55" si="0">PRODUCT(G7*H7)</f>
        <v>200</v>
      </c>
    </row>
    <row r="8" spans="1:16" x14ac:dyDescent="0.3">
      <c r="C8" s="16">
        <v>1003</v>
      </c>
      <c r="D8" s="17" t="s">
        <v>45</v>
      </c>
      <c r="E8" s="17" t="s">
        <v>46</v>
      </c>
      <c r="F8" s="17" t="s">
        <v>47</v>
      </c>
      <c r="G8" s="16">
        <v>15</v>
      </c>
      <c r="H8" s="16">
        <v>25</v>
      </c>
      <c r="I8" s="18">
        <v>45298</v>
      </c>
      <c r="J8" s="1">
        <f t="shared" si="0"/>
        <v>375</v>
      </c>
    </row>
    <row r="9" spans="1:16" x14ac:dyDescent="0.3">
      <c r="C9" s="16">
        <v>1004</v>
      </c>
      <c r="D9" s="17" t="s">
        <v>48</v>
      </c>
      <c r="E9" s="17" t="s">
        <v>49</v>
      </c>
      <c r="F9" s="17" t="s">
        <v>41</v>
      </c>
      <c r="G9" s="16">
        <v>5</v>
      </c>
      <c r="H9" s="16">
        <v>50</v>
      </c>
      <c r="I9" s="18">
        <v>45299</v>
      </c>
      <c r="J9" s="1">
        <f t="shared" si="0"/>
        <v>250</v>
      </c>
    </row>
    <row r="10" spans="1:16" x14ac:dyDescent="0.3">
      <c r="C10" s="16">
        <v>1005</v>
      </c>
      <c r="D10" s="17" t="s">
        <v>50</v>
      </c>
      <c r="E10" s="17" t="s">
        <v>40</v>
      </c>
      <c r="F10" s="17" t="s">
        <v>51</v>
      </c>
      <c r="G10" s="16">
        <v>30</v>
      </c>
      <c r="H10" s="16">
        <v>5</v>
      </c>
      <c r="I10" s="18">
        <v>45301</v>
      </c>
      <c r="J10" s="1">
        <f t="shared" si="0"/>
        <v>150</v>
      </c>
    </row>
    <row r="11" spans="1:16" x14ac:dyDescent="0.3">
      <c r="C11" s="16">
        <v>1006</v>
      </c>
      <c r="D11" s="17" t="s">
        <v>52</v>
      </c>
      <c r="E11" s="17" t="s">
        <v>43</v>
      </c>
      <c r="F11" s="17" t="s">
        <v>41</v>
      </c>
      <c r="G11" s="16">
        <v>12</v>
      </c>
      <c r="H11" s="16">
        <v>50</v>
      </c>
      <c r="I11" s="18">
        <v>45302</v>
      </c>
      <c r="J11" s="1">
        <f t="shared" si="0"/>
        <v>600</v>
      </c>
    </row>
    <row r="12" spans="1:16" x14ac:dyDescent="0.3">
      <c r="C12" s="16">
        <v>1007</v>
      </c>
      <c r="D12" s="17" t="s">
        <v>53</v>
      </c>
      <c r="E12" s="17" t="s">
        <v>46</v>
      </c>
      <c r="F12" s="17" t="s">
        <v>54</v>
      </c>
      <c r="G12" s="16">
        <v>25</v>
      </c>
      <c r="H12" s="16">
        <v>8</v>
      </c>
      <c r="I12" s="18">
        <v>45304</v>
      </c>
      <c r="J12" s="1">
        <f t="shared" si="0"/>
        <v>200</v>
      </c>
    </row>
    <row r="13" spans="1:16" x14ac:dyDescent="0.3">
      <c r="C13" s="16">
        <v>1008</v>
      </c>
      <c r="D13" s="17" t="s">
        <v>55</v>
      </c>
      <c r="E13" s="17" t="s">
        <v>49</v>
      </c>
      <c r="F13" s="17" t="s">
        <v>44</v>
      </c>
      <c r="G13" s="16">
        <v>18</v>
      </c>
      <c r="H13" s="16">
        <v>10</v>
      </c>
      <c r="I13" s="18">
        <v>45306</v>
      </c>
      <c r="J13" s="1">
        <f t="shared" si="0"/>
        <v>180</v>
      </c>
    </row>
    <row r="14" spans="1:16" x14ac:dyDescent="0.3">
      <c r="C14" s="16">
        <v>1009</v>
      </c>
      <c r="D14" s="17" t="s">
        <v>56</v>
      </c>
      <c r="E14" s="17" t="s">
        <v>40</v>
      </c>
      <c r="F14" s="17" t="s">
        <v>47</v>
      </c>
      <c r="G14" s="16">
        <v>22</v>
      </c>
      <c r="H14" s="16">
        <v>25</v>
      </c>
      <c r="I14" s="18">
        <v>45308</v>
      </c>
      <c r="J14" s="1">
        <f t="shared" si="0"/>
        <v>550</v>
      </c>
    </row>
    <row r="15" spans="1:16" x14ac:dyDescent="0.3">
      <c r="C15" s="16">
        <v>1010</v>
      </c>
      <c r="D15" s="17" t="s">
        <v>57</v>
      </c>
      <c r="E15" s="17" t="s">
        <v>43</v>
      </c>
      <c r="F15" s="17" t="s">
        <v>41</v>
      </c>
      <c r="G15" s="16">
        <v>8</v>
      </c>
      <c r="H15" s="16">
        <v>50</v>
      </c>
      <c r="I15" s="18">
        <v>45309</v>
      </c>
      <c r="J15" s="1">
        <f t="shared" si="0"/>
        <v>400</v>
      </c>
    </row>
    <row r="16" spans="1:16" x14ac:dyDescent="0.3">
      <c r="C16" s="16">
        <v>1011</v>
      </c>
      <c r="D16" s="17" t="s">
        <v>58</v>
      </c>
      <c r="E16" s="17" t="s">
        <v>46</v>
      </c>
      <c r="F16" s="17" t="s">
        <v>51</v>
      </c>
      <c r="G16" s="16">
        <v>40</v>
      </c>
      <c r="H16" s="16">
        <v>5</v>
      </c>
      <c r="I16" s="18">
        <v>45310</v>
      </c>
      <c r="J16" s="1">
        <f t="shared" si="0"/>
        <v>200</v>
      </c>
    </row>
    <row r="17" spans="3:10" x14ac:dyDescent="0.3">
      <c r="C17" s="16">
        <v>1012</v>
      </c>
      <c r="D17" s="17" t="s">
        <v>59</v>
      </c>
      <c r="E17" s="17" t="s">
        <v>49</v>
      </c>
      <c r="F17" s="17" t="s">
        <v>54</v>
      </c>
      <c r="G17" s="16">
        <v>35</v>
      </c>
      <c r="H17" s="16">
        <v>8</v>
      </c>
      <c r="I17" s="18">
        <v>45311</v>
      </c>
      <c r="J17" s="1">
        <f t="shared" si="0"/>
        <v>280</v>
      </c>
    </row>
    <row r="18" spans="3:10" x14ac:dyDescent="0.3">
      <c r="C18" s="16">
        <v>1013</v>
      </c>
      <c r="D18" s="17" t="s">
        <v>60</v>
      </c>
      <c r="E18" s="17" t="s">
        <v>40</v>
      </c>
      <c r="F18" s="17" t="s">
        <v>41</v>
      </c>
      <c r="G18" s="16">
        <v>14</v>
      </c>
      <c r="H18" s="16">
        <v>50</v>
      </c>
      <c r="I18" s="18">
        <v>45313</v>
      </c>
      <c r="J18" s="1">
        <f t="shared" si="0"/>
        <v>700</v>
      </c>
    </row>
    <row r="19" spans="3:10" x14ac:dyDescent="0.3">
      <c r="C19" s="16">
        <v>1014</v>
      </c>
      <c r="D19" s="17" t="s">
        <v>61</v>
      </c>
      <c r="E19" s="17" t="s">
        <v>43</v>
      </c>
      <c r="F19" s="17" t="s">
        <v>44</v>
      </c>
      <c r="G19" s="16">
        <v>28</v>
      </c>
      <c r="H19" s="16">
        <v>10</v>
      </c>
      <c r="I19" s="18">
        <v>45314</v>
      </c>
      <c r="J19" s="1">
        <f t="shared" si="0"/>
        <v>280</v>
      </c>
    </row>
    <row r="20" spans="3:10" x14ac:dyDescent="0.3">
      <c r="C20" s="16">
        <v>1015</v>
      </c>
      <c r="D20" s="17" t="s">
        <v>62</v>
      </c>
      <c r="E20" s="17" t="s">
        <v>46</v>
      </c>
      <c r="F20" s="17" t="s">
        <v>47</v>
      </c>
      <c r="G20" s="16">
        <v>12</v>
      </c>
      <c r="H20" s="16">
        <v>25</v>
      </c>
      <c r="I20" s="18">
        <v>45315</v>
      </c>
      <c r="J20" s="1">
        <f t="shared" si="0"/>
        <v>300</v>
      </c>
    </row>
    <row r="21" spans="3:10" x14ac:dyDescent="0.3">
      <c r="C21" s="16">
        <v>1016</v>
      </c>
      <c r="D21" s="17" t="s">
        <v>63</v>
      </c>
      <c r="E21" s="17" t="s">
        <v>49</v>
      </c>
      <c r="F21" s="17" t="s">
        <v>51</v>
      </c>
      <c r="G21" s="16">
        <v>25</v>
      </c>
      <c r="H21" s="16">
        <v>5</v>
      </c>
      <c r="I21" s="18">
        <v>45317</v>
      </c>
      <c r="J21" s="1">
        <f t="shared" si="0"/>
        <v>125</v>
      </c>
    </row>
    <row r="22" spans="3:10" x14ac:dyDescent="0.3">
      <c r="C22" s="16">
        <v>1017</v>
      </c>
      <c r="D22" s="17" t="s">
        <v>64</v>
      </c>
      <c r="E22" s="17" t="s">
        <v>40</v>
      </c>
      <c r="F22" s="17" t="s">
        <v>54</v>
      </c>
      <c r="G22" s="16">
        <v>20</v>
      </c>
      <c r="H22" s="16">
        <v>8</v>
      </c>
      <c r="I22" s="18">
        <v>45319</v>
      </c>
      <c r="J22" s="1">
        <f t="shared" si="0"/>
        <v>160</v>
      </c>
    </row>
    <row r="23" spans="3:10" x14ac:dyDescent="0.3">
      <c r="C23" s="16">
        <v>1018</v>
      </c>
      <c r="D23" s="17" t="s">
        <v>65</v>
      </c>
      <c r="E23" s="17" t="s">
        <v>43</v>
      </c>
      <c r="F23" s="17" t="s">
        <v>41</v>
      </c>
      <c r="G23" s="16">
        <v>10</v>
      </c>
      <c r="H23" s="16">
        <v>50</v>
      </c>
      <c r="I23" s="18">
        <v>45320</v>
      </c>
      <c r="J23" s="1">
        <f t="shared" si="0"/>
        <v>500</v>
      </c>
    </row>
    <row r="24" spans="3:10" x14ac:dyDescent="0.3">
      <c r="C24" s="16">
        <v>1019</v>
      </c>
      <c r="D24" s="17" t="s">
        <v>66</v>
      </c>
      <c r="E24" s="17" t="s">
        <v>46</v>
      </c>
      <c r="F24" s="17" t="s">
        <v>44</v>
      </c>
      <c r="G24" s="16">
        <v>15</v>
      </c>
      <c r="H24" s="16">
        <v>10</v>
      </c>
      <c r="I24" s="18">
        <v>45321</v>
      </c>
      <c r="J24" s="1">
        <f t="shared" si="0"/>
        <v>150</v>
      </c>
    </row>
    <row r="25" spans="3:10" x14ac:dyDescent="0.3">
      <c r="C25" s="16">
        <v>1020</v>
      </c>
      <c r="D25" s="17" t="s">
        <v>67</v>
      </c>
      <c r="E25" s="17" t="s">
        <v>49</v>
      </c>
      <c r="F25" s="17" t="s">
        <v>47</v>
      </c>
      <c r="G25" s="16">
        <v>18</v>
      </c>
      <c r="H25" s="16">
        <v>25</v>
      </c>
      <c r="I25" s="18">
        <v>45323</v>
      </c>
      <c r="J25" s="1">
        <f t="shared" si="0"/>
        <v>450</v>
      </c>
    </row>
    <row r="26" spans="3:10" x14ac:dyDescent="0.3">
      <c r="C26" s="16">
        <v>1021</v>
      </c>
      <c r="D26" s="17" t="s">
        <v>68</v>
      </c>
      <c r="E26" s="17" t="s">
        <v>40</v>
      </c>
      <c r="F26" s="17" t="s">
        <v>41</v>
      </c>
      <c r="G26" s="16">
        <v>9</v>
      </c>
      <c r="H26" s="16">
        <v>50</v>
      </c>
      <c r="I26" s="18">
        <v>45324</v>
      </c>
      <c r="J26" s="1">
        <f t="shared" si="0"/>
        <v>450</v>
      </c>
    </row>
    <row r="27" spans="3:10" x14ac:dyDescent="0.3">
      <c r="C27" s="16">
        <v>1022</v>
      </c>
      <c r="D27" s="17" t="s">
        <v>69</v>
      </c>
      <c r="E27" s="17" t="s">
        <v>43</v>
      </c>
      <c r="F27" s="17" t="s">
        <v>51</v>
      </c>
      <c r="G27" s="16">
        <v>35</v>
      </c>
      <c r="H27" s="16">
        <v>5</v>
      </c>
      <c r="I27" s="18">
        <v>45325</v>
      </c>
      <c r="J27" s="1">
        <f t="shared" si="0"/>
        <v>175</v>
      </c>
    </row>
    <row r="28" spans="3:10" x14ac:dyDescent="0.3">
      <c r="C28" s="16">
        <v>1023</v>
      </c>
      <c r="D28" s="17" t="s">
        <v>70</v>
      </c>
      <c r="E28" s="17" t="s">
        <v>46</v>
      </c>
      <c r="F28" s="17" t="s">
        <v>54</v>
      </c>
      <c r="G28" s="16">
        <v>30</v>
      </c>
      <c r="H28" s="16">
        <v>8</v>
      </c>
      <c r="I28" s="18">
        <v>45326</v>
      </c>
      <c r="J28" s="1">
        <f t="shared" si="0"/>
        <v>240</v>
      </c>
    </row>
    <row r="29" spans="3:10" x14ac:dyDescent="0.3">
      <c r="C29" s="16">
        <v>1024</v>
      </c>
      <c r="D29" s="17" t="s">
        <v>71</v>
      </c>
      <c r="E29" s="17" t="s">
        <v>49</v>
      </c>
      <c r="F29" s="17" t="s">
        <v>41</v>
      </c>
      <c r="G29" s="16">
        <v>11</v>
      </c>
      <c r="H29" s="16">
        <v>50</v>
      </c>
      <c r="I29" s="18">
        <v>45328</v>
      </c>
      <c r="J29" s="1">
        <f t="shared" si="0"/>
        <v>550</v>
      </c>
    </row>
    <row r="30" spans="3:10" x14ac:dyDescent="0.3">
      <c r="C30" s="16">
        <v>1025</v>
      </c>
      <c r="D30" s="17" t="s">
        <v>72</v>
      </c>
      <c r="E30" s="17" t="s">
        <v>40</v>
      </c>
      <c r="F30" s="17" t="s">
        <v>44</v>
      </c>
      <c r="G30" s="16">
        <v>14</v>
      </c>
      <c r="H30" s="16">
        <v>10</v>
      </c>
      <c r="I30" s="18">
        <v>45329</v>
      </c>
      <c r="J30" s="1">
        <f t="shared" si="0"/>
        <v>140</v>
      </c>
    </row>
    <row r="31" spans="3:10" x14ac:dyDescent="0.3">
      <c r="C31" s="16">
        <v>1026</v>
      </c>
      <c r="D31" s="17" t="s">
        <v>73</v>
      </c>
      <c r="E31" s="17" t="s">
        <v>43</v>
      </c>
      <c r="F31" s="17" t="s">
        <v>47</v>
      </c>
      <c r="G31" s="16">
        <v>16</v>
      </c>
      <c r="H31" s="16">
        <v>25</v>
      </c>
      <c r="I31" s="18">
        <v>45330</v>
      </c>
      <c r="J31" s="1">
        <f t="shared" si="0"/>
        <v>400</v>
      </c>
    </row>
    <row r="32" spans="3:10" x14ac:dyDescent="0.3">
      <c r="C32" s="16">
        <v>1027</v>
      </c>
      <c r="D32" s="17" t="s">
        <v>74</v>
      </c>
      <c r="E32" s="17" t="s">
        <v>46</v>
      </c>
      <c r="F32" s="17" t="s">
        <v>51</v>
      </c>
      <c r="G32" s="16">
        <v>22</v>
      </c>
      <c r="H32" s="16">
        <v>5</v>
      </c>
      <c r="I32" s="18">
        <v>45331</v>
      </c>
      <c r="J32" s="1">
        <f t="shared" si="0"/>
        <v>110</v>
      </c>
    </row>
    <row r="33" spans="3:10" x14ac:dyDescent="0.3">
      <c r="C33" s="16">
        <v>1028</v>
      </c>
      <c r="D33" s="17" t="s">
        <v>75</v>
      </c>
      <c r="E33" s="17" t="s">
        <v>49</v>
      </c>
      <c r="F33" s="17" t="s">
        <v>54</v>
      </c>
      <c r="G33" s="16">
        <v>27</v>
      </c>
      <c r="H33" s="16">
        <v>8</v>
      </c>
      <c r="I33" s="18">
        <v>45332</v>
      </c>
      <c r="J33" s="1">
        <f t="shared" si="0"/>
        <v>216</v>
      </c>
    </row>
    <row r="34" spans="3:10" x14ac:dyDescent="0.3">
      <c r="C34" s="16">
        <v>1029</v>
      </c>
      <c r="D34" s="17" t="s">
        <v>76</v>
      </c>
      <c r="E34" s="17" t="s">
        <v>40</v>
      </c>
      <c r="F34" s="17" t="s">
        <v>41</v>
      </c>
      <c r="G34" s="16">
        <v>13</v>
      </c>
      <c r="H34" s="16">
        <v>50</v>
      </c>
      <c r="I34" s="18">
        <v>45334</v>
      </c>
      <c r="J34" s="1">
        <f t="shared" si="0"/>
        <v>650</v>
      </c>
    </row>
    <row r="35" spans="3:10" x14ac:dyDescent="0.3">
      <c r="C35" s="16">
        <v>1030</v>
      </c>
      <c r="D35" s="17" t="s">
        <v>77</v>
      </c>
      <c r="E35" s="17" t="s">
        <v>43</v>
      </c>
      <c r="F35" s="17" t="s">
        <v>44</v>
      </c>
      <c r="G35" s="16">
        <v>32</v>
      </c>
      <c r="H35" s="16">
        <v>10</v>
      </c>
      <c r="I35" s="18">
        <v>45335</v>
      </c>
      <c r="J35" s="1">
        <f t="shared" si="0"/>
        <v>320</v>
      </c>
    </row>
    <row r="36" spans="3:10" x14ac:dyDescent="0.3">
      <c r="C36" s="16">
        <v>1031</v>
      </c>
      <c r="D36" s="17" t="s">
        <v>78</v>
      </c>
      <c r="E36" s="17" t="s">
        <v>46</v>
      </c>
      <c r="F36" s="17" t="s">
        <v>47</v>
      </c>
      <c r="G36" s="16">
        <v>10</v>
      </c>
      <c r="H36" s="16">
        <v>25</v>
      </c>
      <c r="I36" s="18">
        <v>45336</v>
      </c>
      <c r="J36" s="1">
        <f t="shared" si="0"/>
        <v>250</v>
      </c>
    </row>
    <row r="37" spans="3:10" x14ac:dyDescent="0.3">
      <c r="C37" s="16">
        <v>1032</v>
      </c>
      <c r="D37" s="17" t="s">
        <v>79</v>
      </c>
      <c r="E37" s="17" t="s">
        <v>49</v>
      </c>
      <c r="F37" s="17" t="s">
        <v>51</v>
      </c>
      <c r="G37" s="16">
        <v>18</v>
      </c>
      <c r="H37" s="16">
        <v>5</v>
      </c>
      <c r="I37" s="18">
        <v>45338</v>
      </c>
      <c r="J37" s="1">
        <f t="shared" si="0"/>
        <v>90</v>
      </c>
    </row>
    <row r="38" spans="3:10" x14ac:dyDescent="0.3">
      <c r="C38" s="16">
        <v>1033</v>
      </c>
      <c r="D38" s="17" t="s">
        <v>80</v>
      </c>
      <c r="E38" s="17" t="s">
        <v>40</v>
      </c>
      <c r="F38" s="17" t="s">
        <v>54</v>
      </c>
      <c r="G38" s="16">
        <v>22</v>
      </c>
      <c r="H38" s="16">
        <v>8</v>
      </c>
      <c r="I38" s="18">
        <v>45339</v>
      </c>
      <c r="J38" s="1">
        <f t="shared" si="0"/>
        <v>176</v>
      </c>
    </row>
    <row r="39" spans="3:10" x14ac:dyDescent="0.3">
      <c r="C39" s="16">
        <v>1034</v>
      </c>
      <c r="D39" s="17" t="s">
        <v>81</v>
      </c>
      <c r="E39" s="17" t="s">
        <v>43</v>
      </c>
      <c r="F39" s="17" t="s">
        <v>41</v>
      </c>
      <c r="G39" s="16">
        <v>17</v>
      </c>
      <c r="H39" s="16">
        <v>50</v>
      </c>
      <c r="I39" s="18">
        <v>45340</v>
      </c>
      <c r="J39" s="1">
        <f t="shared" si="0"/>
        <v>850</v>
      </c>
    </row>
    <row r="40" spans="3:10" x14ac:dyDescent="0.3">
      <c r="C40" s="16">
        <v>1035</v>
      </c>
      <c r="D40" s="17" t="s">
        <v>82</v>
      </c>
      <c r="E40" s="17" t="s">
        <v>46</v>
      </c>
      <c r="F40" s="17" t="s">
        <v>44</v>
      </c>
      <c r="G40" s="16">
        <v>19</v>
      </c>
      <c r="H40" s="16">
        <v>10</v>
      </c>
      <c r="I40" s="18">
        <v>45341</v>
      </c>
      <c r="J40" s="1">
        <f t="shared" si="0"/>
        <v>190</v>
      </c>
    </row>
    <row r="41" spans="3:10" x14ac:dyDescent="0.3">
      <c r="C41" s="16">
        <v>1036</v>
      </c>
      <c r="D41" s="17" t="s">
        <v>83</v>
      </c>
      <c r="E41" s="17" t="s">
        <v>49</v>
      </c>
      <c r="F41" s="17" t="s">
        <v>47</v>
      </c>
      <c r="G41" s="16">
        <v>15</v>
      </c>
      <c r="H41" s="16">
        <v>25</v>
      </c>
      <c r="I41" s="18">
        <v>45343</v>
      </c>
      <c r="J41" s="1">
        <f t="shared" si="0"/>
        <v>375</v>
      </c>
    </row>
    <row r="42" spans="3:10" x14ac:dyDescent="0.3">
      <c r="C42" s="16">
        <v>1037</v>
      </c>
      <c r="D42" s="17" t="s">
        <v>84</v>
      </c>
      <c r="E42" s="17" t="s">
        <v>40</v>
      </c>
      <c r="F42" s="17" t="s">
        <v>51</v>
      </c>
      <c r="G42" s="16">
        <v>28</v>
      </c>
      <c r="H42" s="16">
        <v>5</v>
      </c>
      <c r="I42" s="18">
        <v>45344</v>
      </c>
      <c r="J42" s="1">
        <f t="shared" si="0"/>
        <v>140</v>
      </c>
    </row>
    <row r="43" spans="3:10" x14ac:dyDescent="0.3">
      <c r="C43" s="16">
        <v>1038</v>
      </c>
      <c r="D43" s="17" t="s">
        <v>85</v>
      </c>
      <c r="E43" s="17" t="s">
        <v>43</v>
      </c>
      <c r="F43" s="17" t="s">
        <v>54</v>
      </c>
      <c r="G43" s="16">
        <v>24</v>
      </c>
      <c r="H43" s="16">
        <v>8</v>
      </c>
      <c r="I43" s="18">
        <v>45345</v>
      </c>
      <c r="J43" s="1">
        <f t="shared" si="0"/>
        <v>192</v>
      </c>
    </row>
    <row r="44" spans="3:10" x14ac:dyDescent="0.3">
      <c r="C44" s="16">
        <v>1039</v>
      </c>
      <c r="D44" s="17" t="s">
        <v>86</v>
      </c>
      <c r="E44" s="17" t="s">
        <v>46</v>
      </c>
      <c r="F44" s="17" t="s">
        <v>41</v>
      </c>
      <c r="G44" s="16">
        <v>16</v>
      </c>
      <c r="H44" s="16">
        <v>50</v>
      </c>
      <c r="I44" s="18">
        <v>45347</v>
      </c>
      <c r="J44" s="1">
        <f t="shared" si="0"/>
        <v>800</v>
      </c>
    </row>
    <row r="45" spans="3:10" x14ac:dyDescent="0.3">
      <c r="C45" s="16">
        <v>1040</v>
      </c>
      <c r="D45" s="17" t="s">
        <v>87</v>
      </c>
      <c r="E45" s="17" t="s">
        <v>49</v>
      </c>
      <c r="F45" s="17" t="s">
        <v>44</v>
      </c>
      <c r="G45" s="16">
        <v>27</v>
      </c>
      <c r="H45" s="16">
        <v>10</v>
      </c>
      <c r="I45" s="18">
        <v>45348</v>
      </c>
      <c r="J45" s="1">
        <f t="shared" si="0"/>
        <v>270</v>
      </c>
    </row>
    <row r="46" spans="3:10" x14ac:dyDescent="0.3">
      <c r="C46" s="16">
        <v>1041</v>
      </c>
      <c r="D46" s="17" t="s">
        <v>88</v>
      </c>
      <c r="E46" s="17" t="s">
        <v>40</v>
      </c>
      <c r="F46" s="17" t="s">
        <v>47</v>
      </c>
      <c r="G46" s="16">
        <v>21</v>
      </c>
      <c r="H46" s="16">
        <v>25</v>
      </c>
      <c r="I46" s="18">
        <v>45349</v>
      </c>
      <c r="J46" s="1">
        <f t="shared" si="0"/>
        <v>525</v>
      </c>
    </row>
    <row r="47" spans="3:10" x14ac:dyDescent="0.3">
      <c r="C47" s="16">
        <v>1042</v>
      </c>
      <c r="D47" s="17" t="s">
        <v>89</v>
      </c>
      <c r="E47" s="17" t="s">
        <v>43</v>
      </c>
      <c r="F47" s="17" t="s">
        <v>51</v>
      </c>
      <c r="G47" s="16">
        <v>30</v>
      </c>
      <c r="H47" s="16">
        <v>5</v>
      </c>
      <c r="I47" s="18">
        <v>45350</v>
      </c>
      <c r="J47" s="1">
        <f t="shared" si="0"/>
        <v>150</v>
      </c>
    </row>
    <row r="48" spans="3:10" x14ac:dyDescent="0.3">
      <c r="C48" s="16">
        <v>1043</v>
      </c>
      <c r="D48" s="17" t="s">
        <v>90</v>
      </c>
      <c r="E48" s="17" t="s">
        <v>46</v>
      </c>
      <c r="F48" s="17" t="s">
        <v>54</v>
      </c>
      <c r="G48" s="16">
        <v>26</v>
      </c>
      <c r="H48" s="16">
        <v>8</v>
      </c>
      <c r="I48" s="18">
        <v>45352</v>
      </c>
      <c r="J48" s="1">
        <f t="shared" si="0"/>
        <v>208</v>
      </c>
    </row>
    <row r="49" spans="3:10" x14ac:dyDescent="0.3">
      <c r="C49" s="16">
        <v>1044</v>
      </c>
      <c r="D49" s="17" t="s">
        <v>91</v>
      </c>
      <c r="E49" s="17" t="s">
        <v>49</v>
      </c>
      <c r="F49" s="17" t="s">
        <v>41</v>
      </c>
      <c r="G49" s="16">
        <v>14</v>
      </c>
      <c r="H49" s="16">
        <v>50</v>
      </c>
      <c r="I49" s="18">
        <v>45353</v>
      </c>
      <c r="J49" s="1">
        <f t="shared" si="0"/>
        <v>700</v>
      </c>
    </row>
    <row r="50" spans="3:10" x14ac:dyDescent="0.3">
      <c r="C50" s="16">
        <v>1045</v>
      </c>
      <c r="D50" s="17" t="s">
        <v>92</v>
      </c>
      <c r="E50" s="17" t="s">
        <v>40</v>
      </c>
      <c r="F50" s="17" t="s">
        <v>44</v>
      </c>
      <c r="G50" s="16">
        <v>20</v>
      </c>
      <c r="H50" s="16">
        <v>10</v>
      </c>
      <c r="I50" s="18">
        <v>45354</v>
      </c>
      <c r="J50" s="1">
        <f t="shared" si="0"/>
        <v>200</v>
      </c>
    </row>
    <row r="51" spans="3:10" x14ac:dyDescent="0.3">
      <c r="C51" s="16">
        <v>1046</v>
      </c>
      <c r="D51" s="17" t="s">
        <v>93</v>
      </c>
      <c r="E51" s="17" t="s">
        <v>43</v>
      </c>
      <c r="F51" s="17" t="s">
        <v>47</v>
      </c>
      <c r="G51" s="16">
        <v>17</v>
      </c>
      <c r="H51" s="16">
        <v>25</v>
      </c>
      <c r="I51" s="18">
        <v>45355</v>
      </c>
      <c r="J51" s="1">
        <f t="shared" si="0"/>
        <v>425</v>
      </c>
    </row>
    <row r="52" spans="3:10" x14ac:dyDescent="0.3">
      <c r="C52" s="16">
        <v>1047</v>
      </c>
      <c r="D52" s="17" t="s">
        <v>94</v>
      </c>
      <c r="E52" s="17" t="s">
        <v>46</v>
      </c>
      <c r="F52" s="17" t="s">
        <v>51</v>
      </c>
      <c r="G52" s="16">
        <v>19</v>
      </c>
      <c r="H52" s="16">
        <v>5</v>
      </c>
      <c r="I52" s="18">
        <v>45356</v>
      </c>
      <c r="J52" s="1">
        <f t="shared" si="0"/>
        <v>95</v>
      </c>
    </row>
    <row r="53" spans="3:10" x14ac:dyDescent="0.3">
      <c r="C53" s="16">
        <v>1048</v>
      </c>
      <c r="D53" s="17" t="s">
        <v>95</v>
      </c>
      <c r="E53" s="17" t="s">
        <v>49</v>
      </c>
      <c r="F53" s="17" t="s">
        <v>54</v>
      </c>
      <c r="G53" s="16">
        <v>32</v>
      </c>
      <c r="H53" s="16">
        <v>8</v>
      </c>
      <c r="I53" s="18">
        <v>45357</v>
      </c>
      <c r="J53" s="1">
        <f t="shared" si="0"/>
        <v>256</v>
      </c>
    </row>
    <row r="54" spans="3:10" x14ac:dyDescent="0.3">
      <c r="C54" s="16">
        <v>1049</v>
      </c>
      <c r="D54" s="17" t="s">
        <v>96</v>
      </c>
      <c r="E54" s="17" t="s">
        <v>40</v>
      </c>
      <c r="F54" s="17" t="s">
        <v>41</v>
      </c>
      <c r="G54" s="16">
        <v>12</v>
      </c>
      <c r="H54" s="16">
        <v>50</v>
      </c>
      <c r="I54" s="18">
        <v>45358</v>
      </c>
      <c r="J54" s="1">
        <f t="shared" si="0"/>
        <v>600</v>
      </c>
    </row>
    <row r="55" spans="3:10" x14ac:dyDescent="0.3">
      <c r="C55" s="16">
        <v>1050</v>
      </c>
      <c r="D55" s="17" t="s">
        <v>97</v>
      </c>
      <c r="E55" s="17" t="s">
        <v>43</v>
      </c>
      <c r="F55" s="17" t="s">
        <v>44</v>
      </c>
      <c r="G55" s="16">
        <v>25</v>
      </c>
      <c r="H55" s="16">
        <v>10</v>
      </c>
      <c r="I55" s="18">
        <v>45359</v>
      </c>
      <c r="J55" s="1">
        <f t="shared" si="0"/>
        <v>250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6174F-2F29-47F9-86DD-A6B4646550F4}">
  <dimension ref="A1:N55"/>
  <sheetViews>
    <sheetView workbookViewId="0">
      <selection activeCell="J6" sqref="J6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10.33203125" bestFit="1" customWidth="1"/>
    <col min="10" max="10" width="9.109375" bestFit="1" customWidth="1"/>
    <col min="13" max="13" width="9.21875" bestFit="1" customWidth="1"/>
    <col min="14" max="14" width="9.109375" bestFit="1" customWidth="1"/>
  </cols>
  <sheetData>
    <row r="1" spans="1:14" ht="17.399999999999999" x14ac:dyDescent="0.3">
      <c r="A1" s="9" t="s">
        <v>28</v>
      </c>
    </row>
    <row r="3" spans="1:14" ht="20.399999999999999" x14ac:dyDescent="0.35">
      <c r="A3" s="8" t="s">
        <v>29</v>
      </c>
    </row>
    <row r="5" spans="1:14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5" t="s">
        <v>10</v>
      </c>
      <c r="M5" s="15" t="s">
        <v>35</v>
      </c>
      <c r="N5" s="15" t="s">
        <v>99</v>
      </c>
    </row>
    <row r="6" spans="1:14" x14ac:dyDescent="0.3">
      <c r="C6" s="16">
        <v>1001</v>
      </c>
      <c r="D6" s="17" t="s">
        <v>39</v>
      </c>
      <c r="E6" s="17" t="s">
        <v>40</v>
      </c>
      <c r="F6" s="17" t="s">
        <v>41</v>
      </c>
      <c r="G6" s="16">
        <v>10</v>
      </c>
      <c r="H6" s="16">
        <v>50</v>
      </c>
      <c r="I6" s="18">
        <v>45296</v>
      </c>
      <c r="J6" s="1">
        <f>PRODUCT(G6*H6)</f>
        <v>500</v>
      </c>
      <c r="M6" s="17" t="s">
        <v>41</v>
      </c>
      <c r="N6" s="1">
        <f>SUMIF($F$6:$F$55,M6,$J$6:$J$55)</f>
        <v>7550</v>
      </c>
    </row>
    <row r="7" spans="1:14" x14ac:dyDescent="0.3">
      <c r="C7" s="16">
        <v>1002</v>
      </c>
      <c r="D7" s="17" t="s">
        <v>42</v>
      </c>
      <c r="E7" s="17" t="s">
        <v>43</v>
      </c>
      <c r="F7" s="17" t="s">
        <v>44</v>
      </c>
      <c r="G7" s="16">
        <v>20</v>
      </c>
      <c r="H7" s="16">
        <v>10</v>
      </c>
      <c r="I7" s="18">
        <v>45297</v>
      </c>
      <c r="J7" s="1">
        <f t="shared" ref="J7:J55" si="0">PRODUCT(G7*H7)</f>
        <v>200</v>
      </c>
      <c r="M7" s="17" t="s">
        <v>44</v>
      </c>
      <c r="N7" s="1">
        <f t="shared" ref="N7:N10" si="1">SUMIF($F$6:$F$55,M7,$J$6:$J$55)</f>
        <v>2180</v>
      </c>
    </row>
    <row r="8" spans="1:14" x14ac:dyDescent="0.3">
      <c r="C8" s="16">
        <v>1003</v>
      </c>
      <c r="D8" s="17" t="s">
        <v>45</v>
      </c>
      <c r="E8" s="17" t="s">
        <v>46</v>
      </c>
      <c r="F8" s="17" t="s">
        <v>47</v>
      </c>
      <c r="G8" s="16">
        <v>15</v>
      </c>
      <c r="H8" s="16">
        <v>25</v>
      </c>
      <c r="I8" s="18">
        <v>45298</v>
      </c>
      <c r="J8" s="1">
        <f t="shared" si="0"/>
        <v>375</v>
      </c>
      <c r="M8" s="17" t="s">
        <v>47</v>
      </c>
      <c r="N8" s="1">
        <f t="shared" si="1"/>
        <v>3650</v>
      </c>
    </row>
    <row r="9" spans="1:14" x14ac:dyDescent="0.3">
      <c r="C9" s="16">
        <v>1004</v>
      </c>
      <c r="D9" s="17" t="s">
        <v>48</v>
      </c>
      <c r="E9" s="17" t="s">
        <v>49</v>
      </c>
      <c r="F9" s="17" t="s">
        <v>41</v>
      </c>
      <c r="G9" s="16">
        <v>5</v>
      </c>
      <c r="H9" s="16">
        <v>50</v>
      </c>
      <c r="I9" s="18">
        <v>45299</v>
      </c>
      <c r="J9" s="1">
        <f t="shared" si="0"/>
        <v>250</v>
      </c>
      <c r="M9" s="17" t="s">
        <v>51</v>
      </c>
      <c r="N9" s="1">
        <f t="shared" si="1"/>
        <v>1235</v>
      </c>
    </row>
    <row r="10" spans="1:14" x14ac:dyDescent="0.3">
      <c r="C10" s="16">
        <v>1005</v>
      </c>
      <c r="D10" s="17" t="s">
        <v>50</v>
      </c>
      <c r="E10" s="17" t="s">
        <v>40</v>
      </c>
      <c r="F10" s="17" t="s">
        <v>51</v>
      </c>
      <c r="G10" s="16">
        <v>30</v>
      </c>
      <c r="H10" s="16">
        <v>5</v>
      </c>
      <c r="I10" s="18">
        <v>45301</v>
      </c>
      <c r="J10" s="1">
        <f t="shared" si="0"/>
        <v>150</v>
      </c>
      <c r="M10" s="17" t="s">
        <v>54</v>
      </c>
      <c r="N10" s="1">
        <f t="shared" si="1"/>
        <v>1928</v>
      </c>
    </row>
    <row r="11" spans="1:14" x14ac:dyDescent="0.3">
      <c r="C11" s="16">
        <v>1006</v>
      </c>
      <c r="D11" s="17" t="s">
        <v>52</v>
      </c>
      <c r="E11" s="17" t="s">
        <v>43</v>
      </c>
      <c r="F11" s="17" t="s">
        <v>41</v>
      </c>
      <c r="G11" s="16">
        <v>12</v>
      </c>
      <c r="H11" s="16">
        <v>50</v>
      </c>
      <c r="I11" s="18">
        <v>45302</v>
      </c>
      <c r="J11" s="1">
        <f t="shared" si="0"/>
        <v>600</v>
      </c>
      <c r="N11" s="1"/>
    </row>
    <row r="12" spans="1:14" x14ac:dyDescent="0.3">
      <c r="C12" s="16">
        <v>1007</v>
      </c>
      <c r="D12" s="17" t="s">
        <v>53</v>
      </c>
      <c r="E12" s="17" t="s">
        <v>46</v>
      </c>
      <c r="F12" s="17" t="s">
        <v>54</v>
      </c>
      <c r="G12" s="16">
        <v>25</v>
      </c>
      <c r="H12" s="16">
        <v>8</v>
      </c>
      <c r="I12" s="18">
        <v>45304</v>
      </c>
      <c r="J12" s="1">
        <f t="shared" si="0"/>
        <v>200</v>
      </c>
      <c r="N12" s="1"/>
    </row>
    <row r="13" spans="1:14" x14ac:dyDescent="0.3">
      <c r="C13" s="16">
        <v>1008</v>
      </c>
      <c r="D13" s="17" t="s">
        <v>55</v>
      </c>
      <c r="E13" s="17" t="s">
        <v>49</v>
      </c>
      <c r="F13" s="17" t="s">
        <v>44</v>
      </c>
      <c r="G13" s="16">
        <v>18</v>
      </c>
      <c r="H13" s="16">
        <v>10</v>
      </c>
      <c r="I13" s="18">
        <v>45306</v>
      </c>
      <c r="J13" s="1">
        <f t="shared" si="0"/>
        <v>180</v>
      </c>
      <c r="N13" s="1"/>
    </row>
    <row r="14" spans="1:14" x14ac:dyDescent="0.3">
      <c r="C14" s="16">
        <v>1009</v>
      </c>
      <c r="D14" s="17" t="s">
        <v>56</v>
      </c>
      <c r="E14" s="17" t="s">
        <v>40</v>
      </c>
      <c r="F14" s="17" t="s">
        <v>47</v>
      </c>
      <c r="G14" s="16">
        <v>22</v>
      </c>
      <c r="H14" s="16">
        <v>25</v>
      </c>
      <c r="I14" s="18">
        <v>45308</v>
      </c>
      <c r="J14" s="1">
        <f t="shared" si="0"/>
        <v>550</v>
      </c>
      <c r="N14" s="1"/>
    </row>
    <row r="15" spans="1:14" x14ac:dyDescent="0.3">
      <c r="C15" s="16">
        <v>1010</v>
      </c>
      <c r="D15" s="17" t="s">
        <v>57</v>
      </c>
      <c r="E15" s="17" t="s">
        <v>43</v>
      </c>
      <c r="F15" s="17" t="s">
        <v>41</v>
      </c>
      <c r="G15" s="16">
        <v>8</v>
      </c>
      <c r="H15" s="16">
        <v>50</v>
      </c>
      <c r="I15" s="18">
        <v>45309</v>
      </c>
      <c r="J15" s="1">
        <f t="shared" si="0"/>
        <v>400</v>
      </c>
      <c r="N15" s="1"/>
    </row>
    <row r="16" spans="1:14" x14ac:dyDescent="0.3">
      <c r="C16" s="16">
        <v>1011</v>
      </c>
      <c r="D16" s="17" t="s">
        <v>58</v>
      </c>
      <c r="E16" s="17" t="s">
        <v>46</v>
      </c>
      <c r="F16" s="17" t="s">
        <v>51</v>
      </c>
      <c r="G16" s="16">
        <v>40</v>
      </c>
      <c r="H16" s="16">
        <v>5</v>
      </c>
      <c r="I16" s="18">
        <v>45310</v>
      </c>
      <c r="J16" s="1">
        <f t="shared" si="0"/>
        <v>200</v>
      </c>
      <c r="N16" s="1"/>
    </row>
    <row r="17" spans="3:14" x14ac:dyDescent="0.3">
      <c r="C17" s="16">
        <v>1012</v>
      </c>
      <c r="D17" s="17" t="s">
        <v>59</v>
      </c>
      <c r="E17" s="17" t="s">
        <v>49</v>
      </c>
      <c r="F17" s="17" t="s">
        <v>54</v>
      </c>
      <c r="G17" s="16">
        <v>35</v>
      </c>
      <c r="H17" s="16">
        <v>8</v>
      </c>
      <c r="I17" s="18">
        <v>45311</v>
      </c>
      <c r="J17" s="1">
        <f t="shared" si="0"/>
        <v>280</v>
      </c>
      <c r="N17" s="1"/>
    </row>
    <row r="18" spans="3:14" x14ac:dyDescent="0.3">
      <c r="C18" s="16">
        <v>1013</v>
      </c>
      <c r="D18" s="17" t="s">
        <v>60</v>
      </c>
      <c r="E18" s="17" t="s">
        <v>40</v>
      </c>
      <c r="F18" s="17" t="s">
        <v>41</v>
      </c>
      <c r="G18" s="16">
        <v>14</v>
      </c>
      <c r="H18" s="16">
        <v>50</v>
      </c>
      <c r="I18" s="18">
        <v>45313</v>
      </c>
      <c r="J18" s="1">
        <f t="shared" si="0"/>
        <v>700</v>
      </c>
      <c r="N18" s="1"/>
    </row>
    <row r="19" spans="3:14" x14ac:dyDescent="0.3">
      <c r="C19" s="16">
        <v>1014</v>
      </c>
      <c r="D19" s="17" t="s">
        <v>61</v>
      </c>
      <c r="E19" s="17" t="s">
        <v>43</v>
      </c>
      <c r="F19" s="17" t="s">
        <v>44</v>
      </c>
      <c r="G19" s="16">
        <v>28</v>
      </c>
      <c r="H19" s="16">
        <v>10</v>
      </c>
      <c r="I19" s="18">
        <v>45314</v>
      </c>
      <c r="J19" s="1">
        <f t="shared" si="0"/>
        <v>280</v>
      </c>
      <c r="N19" s="1"/>
    </row>
    <row r="20" spans="3:14" x14ac:dyDescent="0.3">
      <c r="C20" s="16">
        <v>1015</v>
      </c>
      <c r="D20" s="17" t="s">
        <v>62</v>
      </c>
      <c r="E20" s="17" t="s">
        <v>46</v>
      </c>
      <c r="F20" s="17" t="s">
        <v>47</v>
      </c>
      <c r="G20" s="16">
        <v>12</v>
      </c>
      <c r="H20" s="16">
        <v>25</v>
      </c>
      <c r="I20" s="18">
        <v>45315</v>
      </c>
      <c r="J20" s="1">
        <f t="shared" si="0"/>
        <v>300</v>
      </c>
      <c r="N20" s="1"/>
    </row>
    <row r="21" spans="3:14" x14ac:dyDescent="0.3">
      <c r="C21" s="16">
        <v>1016</v>
      </c>
      <c r="D21" s="17" t="s">
        <v>63</v>
      </c>
      <c r="E21" s="17" t="s">
        <v>49</v>
      </c>
      <c r="F21" s="17" t="s">
        <v>51</v>
      </c>
      <c r="G21" s="16">
        <v>25</v>
      </c>
      <c r="H21" s="16">
        <v>5</v>
      </c>
      <c r="I21" s="18">
        <v>45317</v>
      </c>
      <c r="J21" s="1">
        <f t="shared" si="0"/>
        <v>125</v>
      </c>
      <c r="N21" s="1"/>
    </row>
    <row r="22" spans="3:14" x14ac:dyDescent="0.3">
      <c r="C22" s="16">
        <v>1017</v>
      </c>
      <c r="D22" s="17" t="s">
        <v>64</v>
      </c>
      <c r="E22" s="17" t="s">
        <v>40</v>
      </c>
      <c r="F22" s="17" t="s">
        <v>54</v>
      </c>
      <c r="G22" s="16">
        <v>20</v>
      </c>
      <c r="H22" s="16">
        <v>8</v>
      </c>
      <c r="I22" s="18">
        <v>45319</v>
      </c>
      <c r="J22" s="1">
        <f t="shared" si="0"/>
        <v>160</v>
      </c>
      <c r="N22" s="1"/>
    </row>
    <row r="23" spans="3:14" x14ac:dyDescent="0.3">
      <c r="C23" s="16">
        <v>1018</v>
      </c>
      <c r="D23" s="17" t="s">
        <v>65</v>
      </c>
      <c r="E23" s="17" t="s">
        <v>43</v>
      </c>
      <c r="F23" s="17" t="s">
        <v>41</v>
      </c>
      <c r="G23" s="16">
        <v>10</v>
      </c>
      <c r="H23" s="16">
        <v>50</v>
      </c>
      <c r="I23" s="18">
        <v>45320</v>
      </c>
      <c r="J23" s="1">
        <f t="shared" si="0"/>
        <v>500</v>
      </c>
      <c r="N23" s="1"/>
    </row>
    <row r="24" spans="3:14" x14ac:dyDescent="0.3">
      <c r="C24" s="16">
        <v>1019</v>
      </c>
      <c r="D24" s="17" t="s">
        <v>66</v>
      </c>
      <c r="E24" s="17" t="s">
        <v>46</v>
      </c>
      <c r="F24" s="17" t="s">
        <v>44</v>
      </c>
      <c r="G24" s="16">
        <v>15</v>
      </c>
      <c r="H24" s="16">
        <v>10</v>
      </c>
      <c r="I24" s="18">
        <v>45321</v>
      </c>
      <c r="J24" s="1">
        <f t="shared" si="0"/>
        <v>150</v>
      </c>
      <c r="N24" s="1"/>
    </row>
    <row r="25" spans="3:14" x14ac:dyDescent="0.3">
      <c r="C25" s="16">
        <v>1020</v>
      </c>
      <c r="D25" s="17" t="s">
        <v>67</v>
      </c>
      <c r="E25" s="17" t="s">
        <v>49</v>
      </c>
      <c r="F25" s="17" t="s">
        <v>47</v>
      </c>
      <c r="G25" s="16">
        <v>18</v>
      </c>
      <c r="H25" s="16">
        <v>25</v>
      </c>
      <c r="I25" s="18">
        <v>45323</v>
      </c>
      <c r="J25" s="1">
        <f t="shared" si="0"/>
        <v>450</v>
      </c>
      <c r="N25" s="1"/>
    </row>
    <row r="26" spans="3:14" x14ac:dyDescent="0.3">
      <c r="C26" s="16">
        <v>1021</v>
      </c>
      <c r="D26" s="17" t="s">
        <v>68</v>
      </c>
      <c r="E26" s="17" t="s">
        <v>40</v>
      </c>
      <c r="F26" s="17" t="s">
        <v>41</v>
      </c>
      <c r="G26" s="16">
        <v>9</v>
      </c>
      <c r="H26" s="16">
        <v>50</v>
      </c>
      <c r="I26" s="18">
        <v>45324</v>
      </c>
      <c r="J26" s="1">
        <f t="shared" si="0"/>
        <v>450</v>
      </c>
      <c r="N26" s="1"/>
    </row>
    <row r="27" spans="3:14" x14ac:dyDescent="0.3">
      <c r="C27" s="16">
        <v>1022</v>
      </c>
      <c r="D27" s="17" t="s">
        <v>69</v>
      </c>
      <c r="E27" s="17" t="s">
        <v>43</v>
      </c>
      <c r="F27" s="17" t="s">
        <v>51</v>
      </c>
      <c r="G27" s="16">
        <v>35</v>
      </c>
      <c r="H27" s="16">
        <v>5</v>
      </c>
      <c r="I27" s="18">
        <v>45325</v>
      </c>
      <c r="J27" s="1">
        <f t="shared" si="0"/>
        <v>175</v>
      </c>
      <c r="N27" s="1"/>
    </row>
    <row r="28" spans="3:14" x14ac:dyDescent="0.3">
      <c r="C28" s="16">
        <v>1023</v>
      </c>
      <c r="D28" s="17" t="s">
        <v>70</v>
      </c>
      <c r="E28" s="17" t="s">
        <v>46</v>
      </c>
      <c r="F28" s="17" t="s">
        <v>54</v>
      </c>
      <c r="G28" s="16">
        <v>30</v>
      </c>
      <c r="H28" s="16">
        <v>8</v>
      </c>
      <c r="I28" s="18">
        <v>45326</v>
      </c>
      <c r="J28" s="1">
        <f t="shared" si="0"/>
        <v>240</v>
      </c>
      <c r="N28" s="1"/>
    </row>
    <row r="29" spans="3:14" x14ac:dyDescent="0.3">
      <c r="C29" s="16">
        <v>1024</v>
      </c>
      <c r="D29" s="17" t="s">
        <v>71</v>
      </c>
      <c r="E29" s="17" t="s">
        <v>49</v>
      </c>
      <c r="F29" s="17" t="s">
        <v>41</v>
      </c>
      <c r="G29" s="16">
        <v>11</v>
      </c>
      <c r="H29" s="16">
        <v>50</v>
      </c>
      <c r="I29" s="18">
        <v>45328</v>
      </c>
      <c r="J29" s="1">
        <f t="shared" si="0"/>
        <v>550</v>
      </c>
      <c r="N29" s="1"/>
    </row>
    <row r="30" spans="3:14" x14ac:dyDescent="0.3">
      <c r="C30" s="16">
        <v>1025</v>
      </c>
      <c r="D30" s="17" t="s">
        <v>72</v>
      </c>
      <c r="E30" s="17" t="s">
        <v>40</v>
      </c>
      <c r="F30" s="17" t="s">
        <v>44</v>
      </c>
      <c r="G30" s="16">
        <v>14</v>
      </c>
      <c r="H30" s="16">
        <v>10</v>
      </c>
      <c r="I30" s="18">
        <v>45329</v>
      </c>
      <c r="J30" s="1">
        <f t="shared" si="0"/>
        <v>140</v>
      </c>
      <c r="N30" s="1"/>
    </row>
    <row r="31" spans="3:14" x14ac:dyDescent="0.3">
      <c r="C31" s="16">
        <v>1026</v>
      </c>
      <c r="D31" s="17" t="s">
        <v>73</v>
      </c>
      <c r="E31" s="17" t="s">
        <v>43</v>
      </c>
      <c r="F31" s="17" t="s">
        <v>47</v>
      </c>
      <c r="G31" s="16">
        <v>16</v>
      </c>
      <c r="H31" s="16">
        <v>25</v>
      </c>
      <c r="I31" s="18">
        <v>45330</v>
      </c>
      <c r="J31" s="1">
        <f t="shared" si="0"/>
        <v>400</v>
      </c>
      <c r="N31" s="1"/>
    </row>
    <row r="32" spans="3:14" x14ac:dyDescent="0.3">
      <c r="C32" s="16">
        <v>1027</v>
      </c>
      <c r="D32" s="17" t="s">
        <v>74</v>
      </c>
      <c r="E32" s="17" t="s">
        <v>46</v>
      </c>
      <c r="F32" s="17" t="s">
        <v>51</v>
      </c>
      <c r="G32" s="16">
        <v>22</v>
      </c>
      <c r="H32" s="16">
        <v>5</v>
      </c>
      <c r="I32" s="18">
        <v>45331</v>
      </c>
      <c r="J32" s="1">
        <f t="shared" si="0"/>
        <v>110</v>
      </c>
      <c r="N32" s="1"/>
    </row>
    <row r="33" spans="3:14" x14ac:dyDescent="0.3">
      <c r="C33" s="16">
        <v>1028</v>
      </c>
      <c r="D33" s="17" t="s">
        <v>75</v>
      </c>
      <c r="E33" s="17" t="s">
        <v>49</v>
      </c>
      <c r="F33" s="17" t="s">
        <v>54</v>
      </c>
      <c r="G33" s="16">
        <v>27</v>
      </c>
      <c r="H33" s="16">
        <v>8</v>
      </c>
      <c r="I33" s="18">
        <v>45332</v>
      </c>
      <c r="J33" s="1">
        <f t="shared" si="0"/>
        <v>216</v>
      </c>
      <c r="N33" s="1"/>
    </row>
    <row r="34" spans="3:14" x14ac:dyDescent="0.3">
      <c r="C34" s="16">
        <v>1029</v>
      </c>
      <c r="D34" s="17" t="s">
        <v>76</v>
      </c>
      <c r="E34" s="17" t="s">
        <v>40</v>
      </c>
      <c r="F34" s="17" t="s">
        <v>41</v>
      </c>
      <c r="G34" s="16">
        <v>13</v>
      </c>
      <c r="H34" s="16">
        <v>50</v>
      </c>
      <c r="I34" s="18">
        <v>45334</v>
      </c>
      <c r="J34" s="1">
        <f t="shared" si="0"/>
        <v>650</v>
      </c>
      <c r="N34" s="1"/>
    </row>
    <row r="35" spans="3:14" x14ac:dyDescent="0.3">
      <c r="C35" s="16">
        <v>1030</v>
      </c>
      <c r="D35" s="17" t="s">
        <v>77</v>
      </c>
      <c r="E35" s="17" t="s">
        <v>43</v>
      </c>
      <c r="F35" s="17" t="s">
        <v>44</v>
      </c>
      <c r="G35" s="16">
        <v>32</v>
      </c>
      <c r="H35" s="16">
        <v>10</v>
      </c>
      <c r="I35" s="18">
        <v>45335</v>
      </c>
      <c r="J35" s="1">
        <f t="shared" si="0"/>
        <v>320</v>
      </c>
      <c r="N35" s="1"/>
    </row>
    <row r="36" spans="3:14" x14ac:dyDescent="0.3">
      <c r="C36" s="16">
        <v>1031</v>
      </c>
      <c r="D36" s="17" t="s">
        <v>78</v>
      </c>
      <c r="E36" s="17" t="s">
        <v>46</v>
      </c>
      <c r="F36" s="17" t="s">
        <v>47</v>
      </c>
      <c r="G36" s="16">
        <v>10</v>
      </c>
      <c r="H36" s="16">
        <v>25</v>
      </c>
      <c r="I36" s="18">
        <v>45336</v>
      </c>
      <c r="J36" s="1">
        <f t="shared" si="0"/>
        <v>250</v>
      </c>
      <c r="N36" s="1"/>
    </row>
    <row r="37" spans="3:14" x14ac:dyDescent="0.3">
      <c r="C37" s="16">
        <v>1032</v>
      </c>
      <c r="D37" s="17" t="s">
        <v>79</v>
      </c>
      <c r="E37" s="17" t="s">
        <v>49</v>
      </c>
      <c r="F37" s="17" t="s">
        <v>51</v>
      </c>
      <c r="G37" s="16">
        <v>18</v>
      </c>
      <c r="H37" s="16">
        <v>5</v>
      </c>
      <c r="I37" s="18">
        <v>45338</v>
      </c>
      <c r="J37" s="1">
        <f t="shared" si="0"/>
        <v>90</v>
      </c>
      <c r="N37" s="1"/>
    </row>
    <row r="38" spans="3:14" x14ac:dyDescent="0.3">
      <c r="C38" s="16">
        <v>1033</v>
      </c>
      <c r="D38" s="17" t="s">
        <v>80</v>
      </c>
      <c r="E38" s="17" t="s">
        <v>40</v>
      </c>
      <c r="F38" s="17" t="s">
        <v>54</v>
      </c>
      <c r="G38" s="16">
        <v>22</v>
      </c>
      <c r="H38" s="16">
        <v>8</v>
      </c>
      <c r="I38" s="18">
        <v>45339</v>
      </c>
      <c r="J38" s="1">
        <f t="shared" si="0"/>
        <v>176</v>
      </c>
      <c r="N38" s="1"/>
    </row>
    <row r="39" spans="3:14" x14ac:dyDescent="0.3">
      <c r="C39" s="16">
        <v>1034</v>
      </c>
      <c r="D39" s="17" t="s">
        <v>81</v>
      </c>
      <c r="E39" s="17" t="s">
        <v>43</v>
      </c>
      <c r="F39" s="17" t="s">
        <v>41</v>
      </c>
      <c r="G39" s="16">
        <v>17</v>
      </c>
      <c r="H39" s="16">
        <v>50</v>
      </c>
      <c r="I39" s="18">
        <v>45340</v>
      </c>
      <c r="J39" s="1">
        <f t="shared" si="0"/>
        <v>850</v>
      </c>
      <c r="N39" s="1"/>
    </row>
    <row r="40" spans="3:14" x14ac:dyDescent="0.3">
      <c r="C40" s="16">
        <v>1035</v>
      </c>
      <c r="D40" s="17" t="s">
        <v>82</v>
      </c>
      <c r="E40" s="17" t="s">
        <v>46</v>
      </c>
      <c r="F40" s="17" t="s">
        <v>44</v>
      </c>
      <c r="G40" s="16">
        <v>19</v>
      </c>
      <c r="H40" s="16">
        <v>10</v>
      </c>
      <c r="I40" s="18">
        <v>45341</v>
      </c>
      <c r="J40" s="1">
        <f t="shared" si="0"/>
        <v>190</v>
      </c>
      <c r="N40" s="1"/>
    </row>
    <row r="41" spans="3:14" x14ac:dyDescent="0.3">
      <c r="C41" s="16">
        <v>1036</v>
      </c>
      <c r="D41" s="17" t="s">
        <v>83</v>
      </c>
      <c r="E41" s="17" t="s">
        <v>49</v>
      </c>
      <c r="F41" s="17" t="s">
        <v>47</v>
      </c>
      <c r="G41" s="16">
        <v>15</v>
      </c>
      <c r="H41" s="16">
        <v>25</v>
      </c>
      <c r="I41" s="18">
        <v>45343</v>
      </c>
      <c r="J41" s="1">
        <f t="shared" si="0"/>
        <v>375</v>
      </c>
      <c r="N41" s="1"/>
    </row>
    <row r="42" spans="3:14" x14ac:dyDescent="0.3">
      <c r="C42" s="16">
        <v>1037</v>
      </c>
      <c r="D42" s="17" t="s">
        <v>84</v>
      </c>
      <c r="E42" s="17" t="s">
        <v>40</v>
      </c>
      <c r="F42" s="17" t="s">
        <v>51</v>
      </c>
      <c r="G42" s="16">
        <v>28</v>
      </c>
      <c r="H42" s="16">
        <v>5</v>
      </c>
      <c r="I42" s="18">
        <v>45344</v>
      </c>
      <c r="J42" s="1">
        <f t="shared" si="0"/>
        <v>140</v>
      </c>
      <c r="N42" s="1"/>
    </row>
    <row r="43" spans="3:14" x14ac:dyDescent="0.3">
      <c r="C43" s="16">
        <v>1038</v>
      </c>
      <c r="D43" s="17" t="s">
        <v>85</v>
      </c>
      <c r="E43" s="17" t="s">
        <v>43</v>
      </c>
      <c r="F43" s="17" t="s">
        <v>54</v>
      </c>
      <c r="G43" s="16">
        <v>24</v>
      </c>
      <c r="H43" s="16">
        <v>8</v>
      </c>
      <c r="I43" s="18">
        <v>45345</v>
      </c>
      <c r="J43" s="1">
        <f t="shared" si="0"/>
        <v>192</v>
      </c>
      <c r="N43" s="1"/>
    </row>
    <row r="44" spans="3:14" x14ac:dyDescent="0.3">
      <c r="C44" s="16">
        <v>1039</v>
      </c>
      <c r="D44" s="17" t="s">
        <v>86</v>
      </c>
      <c r="E44" s="17" t="s">
        <v>46</v>
      </c>
      <c r="F44" s="17" t="s">
        <v>41</v>
      </c>
      <c r="G44" s="16">
        <v>16</v>
      </c>
      <c r="H44" s="16">
        <v>50</v>
      </c>
      <c r="I44" s="18">
        <v>45347</v>
      </c>
      <c r="J44" s="1">
        <f t="shared" si="0"/>
        <v>800</v>
      </c>
      <c r="N44" s="1"/>
    </row>
    <row r="45" spans="3:14" x14ac:dyDescent="0.3">
      <c r="C45" s="16">
        <v>1040</v>
      </c>
      <c r="D45" s="17" t="s">
        <v>87</v>
      </c>
      <c r="E45" s="17" t="s">
        <v>49</v>
      </c>
      <c r="F45" s="17" t="s">
        <v>44</v>
      </c>
      <c r="G45" s="16">
        <v>27</v>
      </c>
      <c r="H45" s="16">
        <v>10</v>
      </c>
      <c r="I45" s="18">
        <v>45348</v>
      </c>
      <c r="J45" s="1">
        <f t="shared" si="0"/>
        <v>270</v>
      </c>
      <c r="N45" s="1"/>
    </row>
    <row r="46" spans="3:14" x14ac:dyDescent="0.3">
      <c r="C46" s="16">
        <v>1041</v>
      </c>
      <c r="D46" s="17" t="s">
        <v>88</v>
      </c>
      <c r="E46" s="17" t="s">
        <v>40</v>
      </c>
      <c r="F46" s="17" t="s">
        <v>47</v>
      </c>
      <c r="G46" s="16">
        <v>21</v>
      </c>
      <c r="H46" s="16">
        <v>25</v>
      </c>
      <c r="I46" s="18">
        <v>45349</v>
      </c>
      <c r="J46" s="1">
        <f t="shared" si="0"/>
        <v>525</v>
      </c>
      <c r="N46" s="1"/>
    </row>
    <row r="47" spans="3:14" x14ac:dyDescent="0.3">
      <c r="C47" s="16">
        <v>1042</v>
      </c>
      <c r="D47" s="17" t="s">
        <v>89</v>
      </c>
      <c r="E47" s="17" t="s">
        <v>43</v>
      </c>
      <c r="F47" s="17" t="s">
        <v>51</v>
      </c>
      <c r="G47" s="16">
        <v>30</v>
      </c>
      <c r="H47" s="16">
        <v>5</v>
      </c>
      <c r="I47" s="18">
        <v>45350</v>
      </c>
      <c r="J47" s="1">
        <f t="shared" si="0"/>
        <v>150</v>
      </c>
      <c r="N47" s="1"/>
    </row>
    <row r="48" spans="3:14" x14ac:dyDescent="0.3">
      <c r="C48" s="16">
        <v>1043</v>
      </c>
      <c r="D48" s="17" t="s">
        <v>90</v>
      </c>
      <c r="E48" s="17" t="s">
        <v>46</v>
      </c>
      <c r="F48" s="17" t="s">
        <v>54</v>
      </c>
      <c r="G48" s="16">
        <v>26</v>
      </c>
      <c r="H48" s="16">
        <v>8</v>
      </c>
      <c r="I48" s="18">
        <v>45352</v>
      </c>
      <c r="J48" s="1">
        <f t="shared" si="0"/>
        <v>208</v>
      </c>
      <c r="N48" s="1"/>
    </row>
    <row r="49" spans="3:14" x14ac:dyDescent="0.3">
      <c r="C49" s="16">
        <v>1044</v>
      </c>
      <c r="D49" s="17" t="s">
        <v>91</v>
      </c>
      <c r="E49" s="17" t="s">
        <v>49</v>
      </c>
      <c r="F49" s="17" t="s">
        <v>41</v>
      </c>
      <c r="G49" s="16">
        <v>14</v>
      </c>
      <c r="H49" s="16">
        <v>50</v>
      </c>
      <c r="I49" s="18">
        <v>45353</v>
      </c>
      <c r="J49" s="1">
        <f t="shared" si="0"/>
        <v>700</v>
      </c>
      <c r="N49" s="1"/>
    </row>
    <row r="50" spans="3:14" x14ac:dyDescent="0.3">
      <c r="C50" s="16">
        <v>1045</v>
      </c>
      <c r="D50" s="17" t="s">
        <v>92</v>
      </c>
      <c r="E50" s="17" t="s">
        <v>40</v>
      </c>
      <c r="F50" s="17" t="s">
        <v>44</v>
      </c>
      <c r="G50" s="16">
        <v>20</v>
      </c>
      <c r="H50" s="16">
        <v>10</v>
      </c>
      <c r="I50" s="18">
        <v>45354</v>
      </c>
      <c r="J50" s="1">
        <f t="shared" si="0"/>
        <v>200</v>
      </c>
      <c r="N50" s="1"/>
    </row>
    <row r="51" spans="3:14" x14ac:dyDescent="0.3">
      <c r="C51" s="16">
        <v>1046</v>
      </c>
      <c r="D51" s="17" t="s">
        <v>93</v>
      </c>
      <c r="E51" s="17" t="s">
        <v>43</v>
      </c>
      <c r="F51" s="17" t="s">
        <v>47</v>
      </c>
      <c r="G51" s="16">
        <v>17</v>
      </c>
      <c r="H51" s="16">
        <v>25</v>
      </c>
      <c r="I51" s="18">
        <v>45355</v>
      </c>
      <c r="J51" s="1">
        <f t="shared" si="0"/>
        <v>425</v>
      </c>
      <c r="N51" s="1"/>
    </row>
    <row r="52" spans="3:14" x14ac:dyDescent="0.3">
      <c r="C52" s="16">
        <v>1047</v>
      </c>
      <c r="D52" s="17" t="s">
        <v>94</v>
      </c>
      <c r="E52" s="17" t="s">
        <v>46</v>
      </c>
      <c r="F52" s="17" t="s">
        <v>51</v>
      </c>
      <c r="G52" s="16">
        <v>19</v>
      </c>
      <c r="H52" s="16">
        <v>5</v>
      </c>
      <c r="I52" s="18">
        <v>45356</v>
      </c>
      <c r="J52" s="1">
        <f t="shared" si="0"/>
        <v>95</v>
      </c>
      <c r="N52" s="1"/>
    </row>
    <row r="53" spans="3:14" x14ac:dyDescent="0.3">
      <c r="C53" s="16">
        <v>1048</v>
      </c>
      <c r="D53" s="17" t="s">
        <v>95</v>
      </c>
      <c r="E53" s="17" t="s">
        <v>49</v>
      </c>
      <c r="F53" s="17" t="s">
        <v>54</v>
      </c>
      <c r="G53" s="16">
        <v>32</v>
      </c>
      <c r="H53" s="16">
        <v>8</v>
      </c>
      <c r="I53" s="18">
        <v>45357</v>
      </c>
      <c r="J53" s="1">
        <f t="shared" si="0"/>
        <v>256</v>
      </c>
      <c r="N53" s="1"/>
    </row>
    <row r="54" spans="3:14" x14ac:dyDescent="0.3">
      <c r="C54" s="16">
        <v>1049</v>
      </c>
      <c r="D54" s="17" t="s">
        <v>96</v>
      </c>
      <c r="E54" s="17" t="s">
        <v>40</v>
      </c>
      <c r="F54" s="17" t="s">
        <v>41</v>
      </c>
      <c r="G54" s="16">
        <v>12</v>
      </c>
      <c r="H54" s="16">
        <v>50</v>
      </c>
      <c r="I54" s="18">
        <v>45358</v>
      </c>
      <c r="J54" s="1">
        <f t="shared" si="0"/>
        <v>600</v>
      </c>
      <c r="N54" s="1"/>
    </row>
    <row r="55" spans="3:14" x14ac:dyDescent="0.3">
      <c r="C55" s="16">
        <v>1050</v>
      </c>
      <c r="D55" s="17" t="s">
        <v>97</v>
      </c>
      <c r="E55" s="17" t="s">
        <v>43</v>
      </c>
      <c r="F55" s="17" t="s">
        <v>44</v>
      </c>
      <c r="G55" s="16">
        <v>25</v>
      </c>
      <c r="H55" s="16">
        <v>10</v>
      </c>
      <c r="I55" s="18">
        <v>45359</v>
      </c>
      <c r="J55" s="1">
        <f t="shared" si="0"/>
        <v>250</v>
      </c>
      <c r="N55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0832D-480D-46EF-80DD-FFF9533F3A41}">
  <dimension ref="A1:J55"/>
  <sheetViews>
    <sheetView workbookViewId="0">
      <selection activeCell="K7" sqref="K7"/>
    </sheetView>
  </sheetViews>
  <sheetFormatPr defaultRowHeight="14.4" x14ac:dyDescent="0.3"/>
  <cols>
    <col min="3" max="3" width="7.5546875" bestFit="1" customWidth="1"/>
    <col min="4" max="4" width="14.21875" bestFit="1" customWidth="1"/>
    <col min="5" max="5" width="6.77734375" bestFit="1" customWidth="1"/>
    <col min="6" max="6" width="9.21875" bestFit="1" customWidth="1"/>
    <col min="7" max="7" width="8.33203125" bestFit="1" customWidth="1"/>
    <col min="8" max="8" width="8.6640625" bestFit="1" customWidth="1"/>
    <col min="9" max="9" width="26.21875" bestFit="1" customWidth="1"/>
    <col min="10" max="10" width="9.88671875" bestFit="1" customWidth="1"/>
  </cols>
  <sheetData>
    <row r="1" spans="1:10" ht="17.399999999999999" x14ac:dyDescent="0.3">
      <c r="A1" s="9" t="s">
        <v>30</v>
      </c>
    </row>
    <row r="3" spans="1:10" ht="20.399999999999999" x14ac:dyDescent="0.35">
      <c r="A3" s="8" t="s">
        <v>31</v>
      </c>
    </row>
    <row r="5" spans="1:10" x14ac:dyDescent="0.3">
      <c r="C5" s="15" t="s">
        <v>32</v>
      </c>
      <c r="D5" s="15" t="s">
        <v>33</v>
      </c>
      <c r="E5" s="15" t="s">
        <v>34</v>
      </c>
      <c r="F5" s="15" t="s">
        <v>35</v>
      </c>
      <c r="G5" s="15" t="s">
        <v>36</v>
      </c>
      <c r="H5" s="15" t="s">
        <v>37</v>
      </c>
      <c r="I5" s="15" t="s">
        <v>38</v>
      </c>
      <c r="J5" s="15" t="s">
        <v>10</v>
      </c>
    </row>
    <row r="6" spans="1:10" x14ac:dyDescent="0.3">
      <c r="C6" s="16">
        <v>1001</v>
      </c>
      <c r="D6" s="17" t="s">
        <v>39</v>
      </c>
      <c r="E6" s="17" t="s">
        <v>40</v>
      </c>
      <c r="F6" s="17" t="s">
        <v>41</v>
      </c>
      <c r="G6" s="16">
        <v>10</v>
      </c>
      <c r="H6" s="16">
        <v>50</v>
      </c>
      <c r="I6" s="19">
        <v>45296</v>
      </c>
      <c r="J6" s="1">
        <f>PRODUCT(G6*H6)</f>
        <v>500</v>
      </c>
    </row>
    <row r="7" spans="1:10" x14ac:dyDescent="0.3">
      <c r="C7" s="16">
        <v>1002</v>
      </c>
      <c r="D7" s="17" t="s">
        <v>42</v>
      </c>
      <c r="E7" s="17" t="s">
        <v>43</v>
      </c>
      <c r="F7" s="17" t="s">
        <v>44</v>
      </c>
      <c r="G7" s="16">
        <v>20</v>
      </c>
      <c r="H7" s="16">
        <v>10</v>
      </c>
      <c r="I7" s="19">
        <v>45297</v>
      </c>
      <c r="J7" s="1">
        <f t="shared" ref="J7:J55" si="0">PRODUCT(G7*H7)</f>
        <v>200</v>
      </c>
    </row>
    <row r="8" spans="1:10" x14ac:dyDescent="0.3">
      <c r="C8" s="16">
        <v>1003</v>
      </c>
      <c r="D8" s="17" t="s">
        <v>45</v>
      </c>
      <c r="E8" s="17" t="s">
        <v>46</v>
      </c>
      <c r="F8" s="17" t="s">
        <v>47</v>
      </c>
      <c r="G8" s="16">
        <v>15</v>
      </c>
      <c r="H8" s="16">
        <v>25</v>
      </c>
      <c r="I8" s="19">
        <v>45298</v>
      </c>
      <c r="J8" s="1">
        <f t="shared" si="0"/>
        <v>375</v>
      </c>
    </row>
    <row r="9" spans="1:10" x14ac:dyDescent="0.3">
      <c r="C9" s="16">
        <v>1004</v>
      </c>
      <c r="D9" s="17" t="s">
        <v>48</v>
      </c>
      <c r="E9" s="17" t="s">
        <v>49</v>
      </c>
      <c r="F9" s="17" t="s">
        <v>41</v>
      </c>
      <c r="G9" s="16">
        <v>5</v>
      </c>
      <c r="H9" s="16">
        <v>50</v>
      </c>
      <c r="I9" s="19">
        <v>45299</v>
      </c>
      <c r="J9" s="1">
        <f t="shared" si="0"/>
        <v>250</v>
      </c>
    </row>
    <row r="10" spans="1:10" x14ac:dyDescent="0.3">
      <c r="C10" s="16">
        <v>1005</v>
      </c>
      <c r="D10" s="17" t="s">
        <v>50</v>
      </c>
      <c r="E10" s="17" t="s">
        <v>40</v>
      </c>
      <c r="F10" s="17" t="s">
        <v>51</v>
      </c>
      <c r="G10" s="16">
        <v>30</v>
      </c>
      <c r="H10" s="16">
        <v>5</v>
      </c>
      <c r="I10" s="19">
        <v>45301</v>
      </c>
      <c r="J10" s="1">
        <f t="shared" si="0"/>
        <v>150</v>
      </c>
    </row>
    <row r="11" spans="1:10" x14ac:dyDescent="0.3">
      <c r="C11" s="16">
        <v>1006</v>
      </c>
      <c r="D11" s="17" t="s">
        <v>52</v>
      </c>
      <c r="E11" s="17" t="s">
        <v>43</v>
      </c>
      <c r="F11" s="17" t="s">
        <v>41</v>
      </c>
      <c r="G11" s="16">
        <v>12</v>
      </c>
      <c r="H11" s="16">
        <v>50</v>
      </c>
      <c r="I11" s="19">
        <v>45302</v>
      </c>
      <c r="J11" s="1">
        <f t="shared" si="0"/>
        <v>600</v>
      </c>
    </row>
    <row r="12" spans="1:10" x14ac:dyDescent="0.3">
      <c r="C12" s="16">
        <v>1007</v>
      </c>
      <c r="D12" s="17" t="s">
        <v>53</v>
      </c>
      <c r="E12" s="17" t="s">
        <v>46</v>
      </c>
      <c r="F12" s="17" t="s">
        <v>54</v>
      </c>
      <c r="G12" s="16">
        <v>25</v>
      </c>
      <c r="H12" s="16">
        <v>8</v>
      </c>
      <c r="I12" s="19">
        <v>45304</v>
      </c>
      <c r="J12" s="1">
        <f t="shared" si="0"/>
        <v>200</v>
      </c>
    </row>
    <row r="13" spans="1:10" x14ac:dyDescent="0.3">
      <c r="C13" s="16">
        <v>1008</v>
      </c>
      <c r="D13" s="17" t="s">
        <v>55</v>
      </c>
      <c r="E13" s="17" t="s">
        <v>49</v>
      </c>
      <c r="F13" s="17" t="s">
        <v>44</v>
      </c>
      <c r="G13" s="16">
        <v>18</v>
      </c>
      <c r="H13" s="16">
        <v>10</v>
      </c>
      <c r="I13" s="19">
        <v>45306</v>
      </c>
      <c r="J13" s="1">
        <f t="shared" si="0"/>
        <v>180</v>
      </c>
    </row>
    <row r="14" spans="1:10" x14ac:dyDescent="0.3">
      <c r="C14" s="16">
        <v>1009</v>
      </c>
      <c r="D14" s="17" t="s">
        <v>56</v>
      </c>
      <c r="E14" s="17" t="s">
        <v>40</v>
      </c>
      <c r="F14" s="17" t="s">
        <v>47</v>
      </c>
      <c r="G14" s="16">
        <v>22</v>
      </c>
      <c r="H14" s="16">
        <v>25</v>
      </c>
      <c r="I14" s="19">
        <v>45308</v>
      </c>
      <c r="J14" s="1">
        <f t="shared" si="0"/>
        <v>550</v>
      </c>
    </row>
    <row r="15" spans="1:10" x14ac:dyDescent="0.3">
      <c r="C15" s="16">
        <v>1010</v>
      </c>
      <c r="D15" s="17" t="s">
        <v>57</v>
      </c>
      <c r="E15" s="17" t="s">
        <v>43</v>
      </c>
      <c r="F15" s="17" t="s">
        <v>41</v>
      </c>
      <c r="G15" s="16">
        <v>8</v>
      </c>
      <c r="H15" s="16">
        <v>50</v>
      </c>
      <c r="I15" s="19">
        <v>45309</v>
      </c>
      <c r="J15" s="1">
        <f t="shared" si="0"/>
        <v>400</v>
      </c>
    </row>
    <row r="16" spans="1:10" x14ac:dyDescent="0.3">
      <c r="C16" s="16">
        <v>1011</v>
      </c>
      <c r="D16" s="17" t="s">
        <v>58</v>
      </c>
      <c r="E16" s="17" t="s">
        <v>46</v>
      </c>
      <c r="F16" s="17" t="s">
        <v>51</v>
      </c>
      <c r="G16" s="16">
        <v>40</v>
      </c>
      <c r="H16" s="16">
        <v>5</v>
      </c>
      <c r="I16" s="19">
        <v>45310</v>
      </c>
      <c r="J16" s="1">
        <f t="shared" si="0"/>
        <v>200</v>
      </c>
    </row>
    <row r="17" spans="3:10" x14ac:dyDescent="0.3">
      <c r="C17" s="16">
        <v>1012</v>
      </c>
      <c r="D17" s="17" t="s">
        <v>59</v>
      </c>
      <c r="E17" s="17" t="s">
        <v>49</v>
      </c>
      <c r="F17" s="17" t="s">
        <v>54</v>
      </c>
      <c r="G17" s="16">
        <v>35</v>
      </c>
      <c r="H17" s="16">
        <v>8</v>
      </c>
      <c r="I17" s="19">
        <v>45311</v>
      </c>
      <c r="J17" s="1">
        <f t="shared" si="0"/>
        <v>280</v>
      </c>
    </row>
    <row r="18" spans="3:10" x14ac:dyDescent="0.3">
      <c r="C18" s="16">
        <v>1013</v>
      </c>
      <c r="D18" s="17" t="s">
        <v>60</v>
      </c>
      <c r="E18" s="17" t="s">
        <v>40</v>
      </c>
      <c r="F18" s="17" t="s">
        <v>41</v>
      </c>
      <c r="G18" s="16">
        <v>14</v>
      </c>
      <c r="H18" s="16">
        <v>50</v>
      </c>
      <c r="I18" s="19">
        <v>45313</v>
      </c>
      <c r="J18" s="1">
        <f t="shared" si="0"/>
        <v>700</v>
      </c>
    </row>
    <row r="19" spans="3:10" x14ac:dyDescent="0.3">
      <c r="C19" s="16">
        <v>1014</v>
      </c>
      <c r="D19" s="17" t="s">
        <v>61</v>
      </c>
      <c r="E19" s="17" t="s">
        <v>43</v>
      </c>
      <c r="F19" s="17" t="s">
        <v>44</v>
      </c>
      <c r="G19" s="16">
        <v>28</v>
      </c>
      <c r="H19" s="16">
        <v>10</v>
      </c>
      <c r="I19" s="19">
        <v>45314</v>
      </c>
      <c r="J19" s="1">
        <f t="shared" si="0"/>
        <v>280</v>
      </c>
    </row>
    <row r="20" spans="3:10" x14ac:dyDescent="0.3">
      <c r="C20" s="16">
        <v>1015</v>
      </c>
      <c r="D20" s="17" t="s">
        <v>62</v>
      </c>
      <c r="E20" s="17" t="s">
        <v>46</v>
      </c>
      <c r="F20" s="17" t="s">
        <v>47</v>
      </c>
      <c r="G20" s="16">
        <v>12</v>
      </c>
      <c r="H20" s="16">
        <v>25</v>
      </c>
      <c r="I20" s="19">
        <v>45315</v>
      </c>
      <c r="J20" s="1">
        <f t="shared" si="0"/>
        <v>300</v>
      </c>
    </row>
    <row r="21" spans="3:10" x14ac:dyDescent="0.3">
      <c r="C21" s="16">
        <v>1016</v>
      </c>
      <c r="D21" s="17" t="s">
        <v>63</v>
      </c>
      <c r="E21" s="17" t="s">
        <v>49</v>
      </c>
      <c r="F21" s="17" t="s">
        <v>51</v>
      </c>
      <c r="G21" s="16">
        <v>25</v>
      </c>
      <c r="H21" s="16">
        <v>5</v>
      </c>
      <c r="I21" s="19">
        <v>45317</v>
      </c>
      <c r="J21" s="1">
        <f t="shared" si="0"/>
        <v>125</v>
      </c>
    </row>
    <row r="22" spans="3:10" x14ac:dyDescent="0.3">
      <c r="C22" s="16">
        <v>1017</v>
      </c>
      <c r="D22" s="17" t="s">
        <v>64</v>
      </c>
      <c r="E22" s="17" t="s">
        <v>40</v>
      </c>
      <c r="F22" s="17" t="s">
        <v>54</v>
      </c>
      <c r="G22" s="16">
        <v>20</v>
      </c>
      <c r="H22" s="16">
        <v>8</v>
      </c>
      <c r="I22" s="19">
        <v>45319</v>
      </c>
      <c r="J22" s="1">
        <f t="shared" si="0"/>
        <v>160</v>
      </c>
    </row>
    <row r="23" spans="3:10" x14ac:dyDescent="0.3">
      <c r="C23" s="16">
        <v>1018</v>
      </c>
      <c r="D23" s="17" t="s">
        <v>65</v>
      </c>
      <c r="E23" s="17" t="s">
        <v>43</v>
      </c>
      <c r="F23" s="17" t="s">
        <v>41</v>
      </c>
      <c r="G23" s="16">
        <v>10</v>
      </c>
      <c r="H23" s="16">
        <v>50</v>
      </c>
      <c r="I23" s="19">
        <v>45320</v>
      </c>
      <c r="J23" s="1">
        <f t="shared" si="0"/>
        <v>500</v>
      </c>
    </row>
    <row r="24" spans="3:10" x14ac:dyDescent="0.3">
      <c r="C24" s="16">
        <v>1019</v>
      </c>
      <c r="D24" s="17" t="s">
        <v>66</v>
      </c>
      <c r="E24" s="17" t="s">
        <v>46</v>
      </c>
      <c r="F24" s="17" t="s">
        <v>44</v>
      </c>
      <c r="G24" s="16">
        <v>15</v>
      </c>
      <c r="H24" s="16">
        <v>10</v>
      </c>
      <c r="I24" s="19">
        <v>45321</v>
      </c>
      <c r="J24" s="1">
        <f t="shared" si="0"/>
        <v>150</v>
      </c>
    </row>
    <row r="25" spans="3:10" x14ac:dyDescent="0.3">
      <c r="C25" s="16">
        <v>1020</v>
      </c>
      <c r="D25" s="17" t="s">
        <v>67</v>
      </c>
      <c r="E25" s="17" t="s">
        <v>49</v>
      </c>
      <c r="F25" s="17" t="s">
        <v>47</v>
      </c>
      <c r="G25" s="16">
        <v>18</v>
      </c>
      <c r="H25" s="16">
        <v>25</v>
      </c>
      <c r="I25" s="19">
        <v>45323</v>
      </c>
      <c r="J25" s="1">
        <f t="shared" si="0"/>
        <v>450</v>
      </c>
    </row>
    <row r="26" spans="3:10" x14ac:dyDescent="0.3">
      <c r="C26" s="16">
        <v>1021</v>
      </c>
      <c r="D26" s="17" t="s">
        <v>68</v>
      </c>
      <c r="E26" s="17" t="s">
        <v>40</v>
      </c>
      <c r="F26" s="17" t="s">
        <v>41</v>
      </c>
      <c r="G26" s="16">
        <v>9</v>
      </c>
      <c r="H26" s="16">
        <v>50</v>
      </c>
      <c r="I26" s="19">
        <v>45324</v>
      </c>
      <c r="J26" s="1">
        <f t="shared" si="0"/>
        <v>450</v>
      </c>
    </row>
    <row r="27" spans="3:10" x14ac:dyDescent="0.3">
      <c r="C27" s="16">
        <v>1022</v>
      </c>
      <c r="D27" s="17" t="s">
        <v>69</v>
      </c>
      <c r="E27" s="17" t="s">
        <v>43</v>
      </c>
      <c r="F27" s="17" t="s">
        <v>51</v>
      </c>
      <c r="G27" s="16">
        <v>35</v>
      </c>
      <c r="H27" s="16">
        <v>5</v>
      </c>
      <c r="I27" s="19">
        <v>45325</v>
      </c>
      <c r="J27" s="1">
        <f t="shared" si="0"/>
        <v>175</v>
      </c>
    </row>
    <row r="28" spans="3:10" x14ac:dyDescent="0.3">
      <c r="C28" s="16">
        <v>1023</v>
      </c>
      <c r="D28" s="17" t="s">
        <v>70</v>
      </c>
      <c r="E28" s="17" t="s">
        <v>46</v>
      </c>
      <c r="F28" s="17" t="s">
        <v>54</v>
      </c>
      <c r="G28" s="16">
        <v>30</v>
      </c>
      <c r="H28" s="16">
        <v>8</v>
      </c>
      <c r="I28" s="19">
        <v>45326</v>
      </c>
      <c r="J28" s="1">
        <f t="shared" si="0"/>
        <v>240</v>
      </c>
    </row>
    <row r="29" spans="3:10" x14ac:dyDescent="0.3">
      <c r="C29" s="16">
        <v>1024</v>
      </c>
      <c r="D29" s="17" t="s">
        <v>71</v>
      </c>
      <c r="E29" s="17" t="s">
        <v>49</v>
      </c>
      <c r="F29" s="17" t="s">
        <v>41</v>
      </c>
      <c r="G29" s="16">
        <v>11</v>
      </c>
      <c r="H29" s="16">
        <v>50</v>
      </c>
      <c r="I29" s="19">
        <v>45328</v>
      </c>
      <c r="J29" s="1">
        <f t="shared" si="0"/>
        <v>550</v>
      </c>
    </row>
    <row r="30" spans="3:10" x14ac:dyDescent="0.3">
      <c r="C30" s="16">
        <v>1025</v>
      </c>
      <c r="D30" s="17" t="s">
        <v>72</v>
      </c>
      <c r="E30" s="17" t="s">
        <v>40</v>
      </c>
      <c r="F30" s="17" t="s">
        <v>44</v>
      </c>
      <c r="G30" s="16">
        <v>14</v>
      </c>
      <c r="H30" s="16">
        <v>10</v>
      </c>
      <c r="I30" s="19">
        <v>45329</v>
      </c>
      <c r="J30" s="1">
        <f t="shared" si="0"/>
        <v>140</v>
      </c>
    </row>
    <row r="31" spans="3:10" x14ac:dyDescent="0.3">
      <c r="C31" s="16">
        <v>1026</v>
      </c>
      <c r="D31" s="17" t="s">
        <v>73</v>
      </c>
      <c r="E31" s="17" t="s">
        <v>43</v>
      </c>
      <c r="F31" s="17" t="s">
        <v>47</v>
      </c>
      <c r="G31" s="16">
        <v>16</v>
      </c>
      <c r="H31" s="16">
        <v>25</v>
      </c>
      <c r="I31" s="19">
        <v>45330</v>
      </c>
      <c r="J31" s="1">
        <f t="shared" si="0"/>
        <v>400</v>
      </c>
    </row>
    <row r="32" spans="3:10" x14ac:dyDescent="0.3">
      <c r="C32" s="16">
        <v>1027</v>
      </c>
      <c r="D32" s="17" t="s">
        <v>74</v>
      </c>
      <c r="E32" s="17" t="s">
        <v>46</v>
      </c>
      <c r="F32" s="17" t="s">
        <v>51</v>
      </c>
      <c r="G32" s="16">
        <v>22</v>
      </c>
      <c r="H32" s="16">
        <v>5</v>
      </c>
      <c r="I32" s="19">
        <v>45331</v>
      </c>
      <c r="J32" s="1">
        <f t="shared" si="0"/>
        <v>110</v>
      </c>
    </row>
    <row r="33" spans="3:10" x14ac:dyDescent="0.3">
      <c r="C33" s="16">
        <v>1028</v>
      </c>
      <c r="D33" s="17" t="s">
        <v>75</v>
      </c>
      <c r="E33" s="17" t="s">
        <v>49</v>
      </c>
      <c r="F33" s="17" t="s">
        <v>54</v>
      </c>
      <c r="G33" s="16">
        <v>27</v>
      </c>
      <c r="H33" s="16">
        <v>8</v>
      </c>
      <c r="I33" s="19">
        <v>45332</v>
      </c>
      <c r="J33" s="1">
        <f t="shared" si="0"/>
        <v>216</v>
      </c>
    </row>
    <row r="34" spans="3:10" x14ac:dyDescent="0.3">
      <c r="C34" s="16">
        <v>1029</v>
      </c>
      <c r="D34" s="17" t="s">
        <v>76</v>
      </c>
      <c r="E34" s="17" t="s">
        <v>40</v>
      </c>
      <c r="F34" s="17" t="s">
        <v>41</v>
      </c>
      <c r="G34" s="16">
        <v>13</v>
      </c>
      <c r="H34" s="16">
        <v>50</v>
      </c>
      <c r="I34" s="19">
        <v>45334</v>
      </c>
      <c r="J34" s="1">
        <f t="shared" si="0"/>
        <v>650</v>
      </c>
    </row>
    <row r="35" spans="3:10" x14ac:dyDescent="0.3">
      <c r="C35" s="16">
        <v>1030</v>
      </c>
      <c r="D35" s="17" t="s">
        <v>77</v>
      </c>
      <c r="E35" s="17" t="s">
        <v>43</v>
      </c>
      <c r="F35" s="17" t="s">
        <v>44</v>
      </c>
      <c r="G35" s="16">
        <v>32</v>
      </c>
      <c r="H35" s="16">
        <v>10</v>
      </c>
      <c r="I35" s="19">
        <v>45335</v>
      </c>
      <c r="J35" s="1">
        <f t="shared" si="0"/>
        <v>320</v>
      </c>
    </row>
    <row r="36" spans="3:10" x14ac:dyDescent="0.3">
      <c r="C36" s="16">
        <v>1031</v>
      </c>
      <c r="D36" s="17" t="s">
        <v>78</v>
      </c>
      <c r="E36" s="17" t="s">
        <v>46</v>
      </c>
      <c r="F36" s="17" t="s">
        <v>47</v>
      </c>
      <c r="G36" s="16">
        <v>10</v>
      </c>
      <c r="H36" s="16">
        <v>25</v>
      </c>
      <c r="I36" s="19">
        <v>45336</v>
      </c>
      <c r="J36" s="1">
        <f t="shared" si="0"/>
        <v>250</v>
      </c>
    </row>
    <row r="37" spans="3:10" x14ac:dyDescent="0.3">
      <c r="C37" s="16">
        <v>1032</v>
      </c>
      <c r="D37" s="17" t="s">
        <v>79</v>
      </c>
      <c r="E37" s="17" t="s">
        <v>49</v>
      </c>
      <c r="F37" s="17" t="s">
        <v>51</v>
      </c>
      <c r="G37" s="16">
        <v>18</v>
      </c>
      <c r="H37" s="16">
        <v>5</v>
      </c>
      <c r="I37" s="19">
        <v>45338</v>
      </c>
      <c r="J37" s="1">
        <f t="shared" si="0"/>
        <v>90</v>
      </c>
    </row>
    <row r="38" spans="3:10" x14ac:dyDescent="0.3">
      <c r="C38" s="16">
        <v>1033</v>
      </c>
      <c r="D38" s="17" t="s">
        <v>80</v>
      </c>
      <c r="E38" s="17" t="s">
        <v>40</v>
      </c>
      <c r="F38" s="17" t="s">
        <v>54</v>
      </c>
      <c r="G38" s="16">
        <v>22</v>
      </c>
      <c r="H38" s="16">
        <v>8</v>
      </c>
      <c r="I38" s="19">
        <v>45339</v>
      </c>
      <c r="J38" s="1">
        <f t="shared" si="0"/>
        <v>176</v>
      </c>
    </row>
    <row r="39" spans="3:10" x14ac:dyDescent="0.3">
      <c r="C39" s="16">
        <v>1034</v>
      </c>
      <c r="D39" s="17" t="s">
        <v>81</v>
      </c>
      <c r="E39" s="17" t="s">
        <v>43</v>
      </c>
      <c r="F39" s="17" t="s">
        <v>41</v>
      </c>
      <c r="G39" s="16">
        <v>17</v>
      </c>
      <c r="H39" s="16">
        <v>50</v>
      </c>
      <c r="I39" s="19">
        <v>45340</v>
      </c>
      <c r="J39" s="1">
        <f t="shared" si="0"/>
        <v>850</v>
      </c>
    </row>
    <row r="40" spans="3:10" x14ac:dyDescent="0.3">
      <c r="C40" s="16">
        <v>1035</v>
      </c>
      <c r="D40" s="17" t="s">
        <v>82</v>
      </c>
      <c r="E40" s="17" t="s">
        <v>46</v>
      </c>
      <c r="F40" s="17" t="s">
        <v>44</v>
      </c>
      <c r="G40" s="16">
        <v>19</v>
      </c>
      <c r="H40" s="16">
        <v>10</v>
      </c>
      <c r="I40" s="19">
        <v>45341</v>
      </c>
      <c r="J40" s="1">
        <f t="shared" si="0"/>
        <v>190</v>
      </c>
    </row>
    <row r="41" spans="3:10" x14ac:dyDescent="0.3">
      <c r="C41" s="16">
        <v>1036</v>
      </c>
      <c r="D41" s="17" t="s">
        <v>83</v>
      </c>
      <c r="E41" s="17" t="s">
        <v>49</v>
      </c>
      <c r="F41" s="17" t="s">
        <v>47</v>
      </c>
      <c r="G41" s="16">
        <v>15</v>
      </c>
      <c r="H41" s="16">
        <v>25</v>
      </c>
      <c r="I41" s="19">
        <v>45343</v>
      </c>
      <c r="J41" s="1">
        <f t="shared" si="0"/>
        <v>375</v>
      </c>
    </row>
    <row r="42" spans="3:10" x14ac:dyDescent="0.3">
      <c r="C42" s="16">
        <v>1037</v>
      </c>
      <c r="D42" s="17" t="s">
        <v>84</v>
      </c>
      <c r="E42" s="17" t="s">
        <v>40</v>
      </c>
      <c r="F42" s="17" t="s">
        <v>51</v>
      </c>
      <c r="G42" s="16">
        <v>28</v>
      </c>
      <c r="H42" s="16">
        <v>5</v>
      </c>
      <c r="I42" s="19">
        <v>45344</v>
      </c>
      <c r="J42" s="1">
        <f t="shared" si="0"/>
        <v>140</v>
      </c>
    </row>
    <row r="43" spans="3:10" x14ac:dyDescent="0.3">
      <c r="C43" s="16">
        <v>1038</v>
      </c>
      <c r="D43" s="17" t="s">
        <v>85</v>
      </c>
      <c r="E43" s="17" t="s">
        <v>43</v>
      </c>
      <c r="F43" s="17" t="s">
        <v>54</v>
      </c>
      <c r="G43" s="16">
        <v>24</v>
      </c>
      <c r="H43" s="16">
        <v>8</v>
      </c>
      <c r="I43" s="19">
        <v>45345</v>
      </c>
      <c r="J43" s="1">
        <f t="shared" si="0"/>
        <v>192</v>
      </c>
    </row>
    <row r="44" spans="3:10" x14ac:dyDescent="0.3">
      <c r="C44" s="16">
        <v>1039</v>
      </c>
      <c r="D44" s="17" t="s">
        <v>86</v>
      </c>
      <c r="E44" s="17" t="s">
        <v>46</v>
      </c>
      <c r="F44" s="17" t="s">
        <v>41</v>
      </c>
      <c r="G44" s="16">
        <v>16</v>
      </c>
      <c r="H44" s="16">
        <v>50</v>
      </c>
      <c r="I44" s="19">
        <v>45347</v>
      </c>
      <c r="J44" s="1">
        <f t="shared" si="0"/>
        <v>800</v>
      </c>
    </row>
    <row r="45" spans="3:10" x14ac:dyDescent="0.3">
      <c r="C45" s="16">
        <v>1040</v>
      </c>
      <c r="D45" s="17" t="s">
        <v>87</v>
      </c>
      <c r="E45" s="17" t="s">
        <v>49</v>
      </c>
      <c r="F45" s="17" t="s">
        <v>44</v>
      </c>
      <c r="G45" s="16">
        <v>27</v>
      </c>
      <c r="H45" s="16">
        <v>10</v>
      </c>
      <c r="I45" s="19">
        <v>45348</v>
      </c>
      <c r="J45" s="1">
        <f t="shared" si="0"/>
        <v>270</v>
      </c>
    </row>
    <row r="46" spans="3:10" x14ac:dyDescent="0.3">
      <c r="C46" s="16">
        <v>1041</v>
      </c>
      <c r="D46" s="17" t="s">
        <v>88</v>
      </c>
      <c r="E46" s="17" t="s">
        <v>40</v>
      </c>
      <c r="F46" s="17" t="s">
        <v>47</v>
      </c>
      <c r="G46" s="16">
        <v>21</v>
      </c>
      <c r="H46" s="16">
        <v>25</v>
      </c>
      <c r="I46" s="19">
        <v>45349</v>
      </c>
      <c r="J46" s="1">
        <f t="shared" si="0"/>
        <v>525</v>
      </c>
    </row>
    <row r="47" spans="3:10" x14ac:dyDescent="0.3">
      <c r="C47" s="16">
        <v>1042</v>
      </c>
      <c r="D47" s="17" t="s">
        <v>89</v>
      </c>
      <c r="E47" s="17" t="s">
        <v>43</v>
      </c>
      <c r="F47" s="17" t="s">
        <v>51</v>
      </c>
      <c r="G47" s="16">
        <v>30</v>
      </c>
      <c r="H47" s="16">
        <v>5</v>
      </c>
      <c r="I47" s="19">
        <v>45350</v>
      </c>
      <c r="J47" s="1">
        <f t="shared" si="0"/>
        <v>150</v>
      </c>
    </row>
    <row r="48" spans="3:10" x14ac:dyDescent="0.3">
      <c r="C48" s="16">
        <v>1043</v>
      </c>
      <c r="D48" s="17" t="s">
        <v>90</v>
      </c>
      <c r="E48" s="17" t="s">
        <v>46</v>
      </c>
      <c r="F48" s="17" t="s">
        <v>54</v>
      </c>
      <c r="G48" s="16">
        <v>26</v>
      </c>
      <c r="H48" s="16">
        <v>8</v>
      </c>
      <c r="I48" s="19">
        <v>45352</v>
      </c>
      <c r="J48" s="1">
        <f t="shared" si="0"/>
        <v>208</v>
      </c>
    </row>
    <row r="49" spans="3:10" x14ac:dyDescent="0.3">
      <c r="C49" s="16">
        <v>1044</v>
      </c>
      <c r="D49" s="17" t="s">
        <v>91</v>
      </c>
      <c r="E49" s="17" t="s">
        <v>49</v>
      </c>
      <c r="F49" s="17" t="s">
        <v>41</v>
      </c>
      <c r="G49" s="16">
        <v>14</v>
      </c>
      <c r="H49" s="16">
        <v>50</v>
      </c>
      <c r="I49" s="19">
        <v>45353</v>
      </c>
      <c r="J49" s="1">
        <f t="shared" si="0"/>
        <v>700</v>
      </c>
    </row>
    <row r="50" spans="3:10" x14ac:dyDescent="0.3">
      <c r="C50" s="16">
        <v>1045</v>
      </c>
      <c r="D50" s="17" t="s">
        <v>92</v>
      </c>
      <c r="E50" s="17" t="s">
        <v>40</v>
      </c>
      <c r="F50" s="17" t="s">
        <v>44</v>
      </c>
      <c r="G50" s="16">
        <v>20</v>
      </c>
      <c r="H50" s="16">
        <v>10</v>
      </c>
      <c r="I50" s="19">
        <v>45354</v>
      </c>
      <c r="J50" s="1">
        <f t="shared" si="0"/>
        <v>200</v>
      </c>
    </row>
    <row r="51" spans="3:10" x14ac:dyDescent="0.3">
      <c r="C51" s="16">
        <v>1046</v>
      </c>
      <c r="D51" s="17" t="s">
        <v>93</v>
      </c>
      <c r="E51" s="17" t="s">
        <v>43</v>
      </c>
      <c r="F51" s="17" t="s">
        <v>47</v>
      </c>
      <c r="G51" s="16">
        <v>17</v>
      </c>
      <c r="H51" s="16">
        <v>25</v>
      </c>
      <c r="I51" s="19">
        <v>45355</v>
      </c>
      <c r="J51" s="1">
        <f t="shared" si="0"/>
        <v>425</v>
      </c>
    </row>
    <row r="52" spans="3:10" x14ac:dyDescent="0.3">
      <c r="C52" s="16">
        <v>1047</v>
      </c>
      <c r="D52" s="17" t="s">
        <v>94</v>
      </c>
      <c r="E52" s="17" t="s">
        <v>46</v>
      </c>
      <c r="F52" s="17" t="s">
        <v>51</v>
      </c>
      <c r="G52" s="16">
        <v>19</v>
      </c>
      <c r="H52" s="16">
        <v>5</v>
      </c>
      <c r="I52" s="19">
        <v>45356</v>
      </c>
      <c r="J52" s="1">
        <f t="shared" si="0"/>
        <v>95</v>
      </c>
    </row>
    <row r="53" spans="3:10" x14ac:dyDescent="0.3">
      <c r="C53" s="16">
        <v>1048</v>
      </c>
      <c r="D53" s="17" t="s">
        <v>95</v>
      </c>
      <c r="E53" s="17" t="s">
        <v>49</v>
      </c>
      <c r="F53" s="17" t="s">
        <v>54</v>
      </c>
      <c r="G53" s="16">
        <v>32</v>
      </c>
      <c r="H53" s="16">
        <v>8</v>
      </c>
      <c r="I53" s="19">
        <v>45357</v>
      </c>
      <c r="J53" s="1">
        <f t="shared" si="0"/>
        <v>256</v>
      </c>
    </row>
    <row r="54" spans="3:10" x14ac:dyDescent="0.3">
      <c r="C54" s="16">
        <v>1049</v>
      </c>
      <c r="D54" s="17" t="s">
        <v>96</v>
      </c>
      <c r="E54" s="17" t="s">
        <v>40</v>
      </c>
      <c r="F54" s="17" t="s">
        <v>41</v>
      </c>
      <c r="G54" s="16">
        <v>12</v>
      </c>
      <c r="H54" s="16">
        <v>50</v>
      </c>
      <c r="I54" s="19">
        <v>45358</v>
      </c>
      <c r="J54" s="1">
        <f t="shared" si="0"/>
        <v>600</v>
      </c>
    </row>
    <row r="55" spans="3:10" x14ac:dyDescent="0.3">
      <c r="C55" s="16">
        <v>1050</v>
      </c>
      <c r="D55" s="17" t="s">
        <v>97</v>
      </c>
      <c r="E55" s="17" t="s">
        <v>43</v>
      </c>
      <c r="F55" s="17" t="s">
        <v>44</v>
      </c>
      <c r="G55" s="16">
        <v>25</v>
      </c>
      <c r="H55" s="16">
        <v>10</v>
      </c>
      <c r="I55" s="19">
        <v>45359</v>
      </c>
      <c r="J55" s="1">
        <f t="shared" si="0"/>
        <v>250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Question 1st </vt:lpstr>
      <vt:lpstr>Question 2nd</vt:lpstr>
      <vt:lpstr>Question 3rd</vt:lpstr>
      <vt:lpstr>Question 4th</vt:lpstr>
      <vt:lpstr>Question 5th</vt:lpstr>
      <vt:lpstr>Question 6th</vt:lpstr>
      <vt:lpstr>Question 7th</vt:lpstr>
      <vt:lpstr>Question 8th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Mudit Khandelwal</dc:creator>
  <cp:lastModifiedBy>pankaj1977us@yahoo.com</cp:lastModifiedBy>
  <dcterms:created xsi:type="dcterms:W3CDTF">2025-12-15T07:34:15Z</dcterms:created>
  <dcterms:modified xsi:type="dcterms:W3CDTF">2025-12-16T08:07:40Z</dcterms:modified>
</cp:coreProperties>
</file>